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9d7c31c394f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08a80f746d64b12"/>
    <x:sheet xmlns:r="http://schemas.openxmlformats.org/officeDocument/2006/relationships" name="Customers" sheetId="2" r:id="R67cfe2bc394b4318"/>
    <x:sheet xmlns:r="http://schemas.openxmlformats.org/officeDocument/2006/relationships" name="Transactions" sheetId="3" r:id="Ra3aae115720f4da2"/>
    <x:sheet xmlns:r="http://schemas.openxmlformats.org/officeDocument/2006/relationships" name="Shipments" sheetId="4" r:id="Rebfc1800613046fd"/>
    <x:sheet xmlns:r="http://schemas.openxmlformats.org/officeDocument/2006/relationships" name="Payments" sheetId="5" r:id="Rbb3eaa594dad46c3"/>
    <x:sheet xmlns:r="http://schemas.openxmlformats.org/officeDocument/2006/relationships" name="Team" sheetId="6" r:id="R2528acc6af4b4412"/>
    <x:sheet xmlns:r="http://schemas.openxmlformats.org/officeDocument/2006/relationships" name="Rules &amp; Lists" sheetId="7" r:id="Rb7175bd0312848d1"/>
  </x:sheets>
</x:workbook>
</file>

<file path=xl/comments1.xml><?xml version="1.0" encoding="utf-8"?>
<x:comments xmlns:x="http://schemas.openxmlformats.org/spreadsheetml/2006/main">
  <x:authors>
    <x:author>tc={2A4F467A-60E4-4A65-B93E-2B827602306A}</x:author>
  </x:authors>
  <x:commentList>
    <x:comment ref="K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Payment status is calculated from the matching Transaction ID in the Payments sheet.</x:t>
        </x:r>
      </x:text>
    </x:comment>
  </x:commentList>
</x:comments>
</file>

<file path=xl/comments2.xml><?xml version="1.0" encoding="utf-8"?>
<x:comments xmlns:x="http://schemas.openxmlformats.org/spreadsheetml/2006/main">
  <x:authors>
    <x:author>tc={ED2D1839-EE2F-4932-BE1F-42C764C37590}</x:author>
  </x:authors>
  <x:commentList>
    <x:comment ref="C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Due date is calculated from the transaction date plus the Payment due days setting in Rules &amp; Lists.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₹#,##0"/>
    <x:numFmt numFmtId="201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B7280"/>
      <x:name val="Carlito"/>
    </x:font>
    <x:font>
      <x:b/>
      <x:sz val="10"/>
      <x:color rgb="FFFFFFFF"/>
      <x:name val="Carlito"/>
    </x:font>
    <x:font>
      <x:sz val="10"/>
      <x:color rgb="FF25313C"/>
      <x:name val="Carlito"/>
    </x:font>
    <x:font>
      <x:b/>
      <x:sz val="12"/>
      <x:color rgb="FFFFFFFF"/>
      <x:name val="Carlito"/>
    </x:font>
    <x:font>
      <x:sz val="11"/>
      <x:color rgb="FF25313C"/>
      <x:name val="Carlito"/>
    </x:font>
    <x:font>
      <x:b/>
      <x:sz val="15"/>
      <x:color rgb="FF1D3557"/>
      <x:name val="Carlito"/>
    </x:font>
    <x:font>
      <x:b/>
      <x:sz val="10"/>
      <x:color rgb="FF2A9D8F"/>
      <x:name val="Carlito"/>
    </x:font>
    <x:font>
      <x:b/>
      <x:sz val="11"/>
      <x:color rgb="FF166534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D3557"/>
      </x:patternFill>
    </x:fill>
    <x:fill>
      <x:patternFill patternType="solid">
        <x:fgColor rgb="FFF6F8FB"/>
      </x:patternFill>
    </x:fill>
    <x:fill>
      <x:patternFill patternType="solid">
        <x:fgColor rgb="FF2A9D8F"/>
      </x:patternFill>
    </x:fill>
    <x:fill>
      <x:patternFill patternType="solid">
        <x:fgColor rgb="FFDCEEF8"/>
      </x:patternFill>
    </x:fill>
    <x:fill>
      <x:patternFill patternType="solid">
        <x:fgColor rgb="FFFFFBEA"/>
      </x:patternFill>
    </x:fill>
    <x:fill>
      <x:patternFill patternType="solid">
        <x:fgColor rgb="FFFFFFFF"/>
      </x:patternFill>
    </x:fill>
    <x:fill>
      <x:patternFill patternType="solid">
        <x:fgColor rgb="FFDCFCE7"/>
      </x:patternFill>
    </x:fill>
  </x:fills>
  <x:borders count="12">
    <x:border/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top style="thin">
        <x:color rgb="FFD9E1E8"/>
      </x:top>
    </x:border>
    <x:border>
      <x:left style="thin">
        <x:color rgb="FF2A9D8F"/>
      </x:left>
      <x:top style="thin">
        <x:color rgb="FF2A9D8F"/>
      </x:top>
    </x:border>
    <x:border>
      <x:top style="thin">
        <x:color rgb="FF2A9D8F"/>
      </x:top>
    </x:border>
    <x:border>
      <x:right style="thin">
        <x:color rgb="FF2A9D8F"/>
      </x:right>
      <x:top style="thin">
        <x:color rgb="FF2A9D8F"/>
      </x:top>
    </x:border>
    <x:border>
      <x:left style="thin">
        <x:color rgb="FF2A9D8F"/>
      </x:left>
    </x:border>
    <x:border>
      <x:right style="thin">
        <x:color rgb="FF2A9D8F"/>
      </x:right>
    </x:border>
    <x:border>
      <x:left style="thin">
        <x:color rgb="FF2A9D8F"/>
      </x:left>
      <x:bottom style="thin">
        <x:color rgb="FF2A9D8F"/>
      </x:bottom>
    </x:border>
    <x:border>
      <x:bottom style="thin">
        <x:color rgb="FF2A9D8F"/>
      </x:bottom>
    </x:border>
    <x:border>
      <x:right style="thin">
        <x:color rgb="FF2A9D8F"/>
      </x:right>
      <x:bottom style="thin">
        <x:color rgb="FF2A9D8F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/>
    </x:xf>
    <x:xf numFmtId="0" fontId="4" fillId="5" borderId="3" xfId="0" applyNumberFormat="1" applyFont="1" applyFill="1" applyBorder="1" applyAlignment="1">
      <x:alignment vertical="top"/>
    </x:xf>
    <x:xf numFmtId="200" fontId="4" fillId="0" borderId="1" xfId="0" applyNumberFormat="1" applyFont="1" applyFill="1" applyBorder="1" applyAlignment="1">
      <x:alignment vertical="top"/>
    </x:xf>
    <x:xf numFmtId="200" fontId="4" fillId="0" borderId="2" xfId="0" applyNumberFormat="1" applyFont="1" applyFill="1" applyBorder="1" applyAlignment="1">
      <x:alignment vertical="top"/>
    </x:xf>
    <x:xf numFmtId="200" fontId="4" fillId="0" borderId="3" xfId="0" applyNumberFormat="1" applyFont="1" applyFill="1" applyBorder="1" applyAlignment="1">
      <x:alignment vertical="top"/>
    </x:xf>
    <x:xf numFmtId="201" fontId="4" fillId="0" borderId="1" xfId="0" applyNumberFormat="1" applyFont="1" applyFill="1" applyBorder="1" applyAlignment="1">
      <x:alignment vertical="top"/>
    </x:xf>
    <x:xf numFmtId="201" fontId="4" fillId="0" borderId="2" xfId="0" applyNumberFormat="1" applyFont="1" applyFill="1" applyBorder="1" applyAlignment="1">
      <x:alignment vertical="top"/>
    </x:xf>
    <x:xf numFmtId="201" fontId="4" fillId="0" borderId="3" xfId="0" applyNumberFormat="1" applyFont="1" applyFill="1" applyBorder="1" applyAlignment="1">
      <x:alignment vertical="top"/>
    </x:xf>
    <x:xf numFmtId="200" fontId="4" fillId="6" borderId="1" xfId="0" applyNumberFormat="1" applyFont="1" applyFill="1" applyBorder="1" applyAlignment="1">
      <x:alignment vertical="top"/>
    </x:xf>
    <x:xf numFmtId="200" fontId="4" fillId="6" borderId="2" xfId="0" applyNumberFormat="1" applyFont="1" applyFill="1" applyBorder="1" applyAlignment="1">
      <x:alignment vertical="top"/>
    </x:xf>
    <x:xf numFmtId="200" fontId="4" fillId="6" borderId="3" xfId="0" applyNumberFormat="1" applyFont="1" applyFill="1" applyBorder="1" applyAlignment="1">
      <x:alignment vertical="top"/>
    </x:xf>
    <x:xf numFmtId="0" fontId="4" fillId="6" borderId="1" xfId="0" applyNumberFormat="1" applyFont="1" applyFill="1" applyBorder="1" applyAlignment="1">
      <x:alignment vertical="top"/>
    </x:xf>
    <x:xf numFmtId="0" fontId="4" fillId="6" borderId="2" xfId="0" applyNumberFormat="1" applyFont="1" applyFill="1" applyBorder="1" applyAlignment="1">
      <x:alignment vertical="top"/>
    </x:xf>
    <x:xf numFmtId="0" fontId="4" fillId="6" borderId="3" xfId="0" applyNumberFormat="1" applyFont="1" applyFill="1" applyBorder="1" applyAlignment="1">
      <x:alignment vertical="top"/>
    </x:xf>
    <x:xf numFmtId="201" fontId="4" fillId="6" borderId="1" xfId="0" applyNumberFormat="1" applyFont="1" applyFill="1" applyBorder="1" applyAlignment="1">
      <x:alignment vertical="top"/>
    </x:xf>
    <x:xf numFmtId="201" fontId="4" fillId="6" borderId="2" xfId="0" applyNumberFormat="1" applyFont="1" applyFill="1" applyBorder="1" applyAlignment="1">
      <x:alignment vertical="top"/>
    </x:xf>
    <x:xf numFmtId="201" fontId="4" fillId="6" borderId="3" xfId="0" applyNumberFormat="1" applyFont="1" applyFill="1" applyBorder="1" applyAlignment="1">
      <x:alignment vertical="top"/>
    </x:xf>
    <x:xf numFmtId="0" fontId="5" fillId="4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7" fillId="5" borderId="1" xfId="0" applyNumberFormat="1" applyFont="1" applyFill="1" applyBorder="1"/>
    <x:xf numFmtId="0" fontId="7" fillId="5" borderId="2" xfId="0" applyNumberFormat="1" applyFont="1" applyFill="1" applyBorder="1"/>
    <x:xf numFmtId="0" fontId="7" fillId="5" borderId="3" xfId="0" applyNumberFormat="1" applyFont="1" applyFill="1" applyBorder="1"/>
    <x:xf numFmtId="0" fontId="7" fillId="5" borderId="1" xfId="0" applyNumberFormat="1" applyFont="1" applyFill="1" applyBorder="1" applyAlignment="1">
      <x:alignment horizontal="right"/>
    </x:xf>
    <x:xf numFmtId="0" fontId="7" fillId="5" borderId="2" xfId="0" applyNumberFormat="1" applyFont="1" applyFill="1" applyBorder="1" applyAlignment="1">
      <x:alignment horizontal="right"/>
    </x:xf>
    <x:xf numFmtId="0" fontId="7" fillId="5" borderId="3" xfId="0" applyNumberFormat="1" applyFont="1" applyFill="1" applyBorder="1" applyAlignment="1">
      <x:alignment horizontal="right"/>
    </x:xf>
    <x:xf numFmtId="200" fontId="7" fillId="5" borderId="2" xfId="0" applyNumberFormat="1" applyFont="1" applyFill="1" applyBorder="1" applyAlignment="1">
      <x:alignment horizontal="right"/>
    </x:xf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wrapText="1"/>
    </x:xf>
    <x:xf numFmtId="0" fontId="8" fillId="7" borderId="3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4" xfId="0" applyNumberFormat="1" applyFont="1" applyFill="1" applyBorder="1"/>
    <x:xf numFmtId="0" fontId="9" fillId="8" borderId="5" xfId="0" applyNumberFormat="1" applyFont="1" applyFill="1" applyBorder="1"/>
    <x:xf numFmtId="0" fontId="9" fillId="8" borderId="6" xfId="0" applyNumberFormat="1" applyFont="1" applyFill="1" applyBorder="1"/>
    <x:xf numFmtId="0" fontId="9" fillId="8" borderId="7" xfId="0" applyNumberFormat="1" applyFont="1" applyFill="1" applyBorder="1"/>
    <x:xf numFmtId="0" fontId="9" fillId="8" borderId="8" xfId="0" applyNumberFormat="1" applyFont="1" applyFill="1" applyBorder="1"/>
    <x:xf numFmtId="0" fontId="9" fillId="8" borderId="9" xfId="0" applyNumberFormat="1" applyFont="1" applyFill="1" applyBorder="1"/>
    <x:xf numFmtId="0" fontId="9" fillId="8" borderId="10" xfId="0" applyNumberFormat="1" applyFont="1" applyFill="1" applyBorder="1"/>
    <x:xf numFmtId="0" fontId="9" fillId="8" borderId="11" xfId="0" applyNumberFormat="1" applyFont="1" applyFill="1" applyBorder="1"/>
    <x:xf numFmtId="0" fontId="9" fillId="8" borderId="4" xfId="0" applyNumberFormat="1" applyFont="1" applyFill="1" applyBorder="1" applyAlignment="1">
      <x:alignment wrapText="1"/>
    </x:xf>
    <x:xf numFmtId="0" fontId="9" fillId="8" borderId="5" xfId="0" applyNumberFormat="1" applyFont="1" applyFill="1" applyBorder="1" applyAlignment="1">
      <x:alignment wrapText="1"/>
    </x:xf>
    <x:xf numFmtId="0" fontId="9" fillId="8" borderId="6" xfId="0" applyNumberFormat="1" applyFont="1" applyFill="1" applyBorder="1" applyAlignment="1">
      <x:alignment wrapText="1"/>
    </x:xf>
    <x:xf numFmtId="0" fontId="9" fillId="8" borderId="7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9" fillId="8" borderId="8" xfId="0" applyNumberFormat="1" applyFont="1" applyFill="1" applyBorder="1" applyAlignment="1">
      <x:alignment wrapText="1"/>
    </x:xf>
    <x:xf numFmtId="0" fontId="9" fillId="8" borderId="9" xfId="0" applyNumberFormat="1" applyFont="1" applyFill="1" applyBorder="1" applyAlignment="1">
      <x:alignment wrapText="1"/>
    </x:xf>
    <x:xf numFmtId="0" fontId="9" fillId="8" borderId="10" xfId="0" applyNumberFormat="1" applyFont="1" applyFill="1" applyBorder="1" applyAlignment="1">
      <x:alignment wrapText="1"/>
    </x:xf>
    <x:xf numFmtId="0" fontId="9" fillId="8" borderId="11" xfId="0" applyNumberFormat="1" applyFont="1" applyFill="1" applyBorder="1" applyAlignment="1">
      <x:alignment wrapText="1"/>
    </x:xf>
    <x:xf numFmtId="0" fontId="9" fillId="8" borderId="4" xfId="0" applyNumberFormat="1" applyFont="1" applyFill="1" applyBorder="1" applyAlignment="1">
      <x:alignment vertical="center" wrapText="1"/>
    </x:xf>
    <x:xf numFmtId="0" fontId="9" fillId="8" borderId="5" xfId="0" applyNumberFormat="1" applyFont="1" applyFill="1" applyBorder="1" applyAlignment="1">
      <x:alignment vertical="center" wrapText="1"/>
    </x:xf>
    <x:xf numFmtId="0" fontId="9" fillId="8" borderId="6" xfId="0" applyNumberFormat="1" applyFont="1" applyFill="1" applyBorder="1" applyAlignment="1">
      <x:alignment vertical="center" wrapText="1"/>
    </x:xf>
    <x:xf numFmtId="0" fontId="9" fillId="8" borderId="7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8" xfId="0" applyNumberFormat="1" applyFont="1" applyFill="1" applyBorder="1" applyAlignment="1">
      <x:alignment vertical="center" wrapText="1"/>
    </x:xf>
    <x:xf numFmtId="0" fontId="9" fillId="8" borderId="9" xfId="0" applyNumberFormat="1" applyFont="1" applyFill="1" applyBorder="1" applyAlignment="1">
      <x:alignment vertical="center" wrapText="1"/>
    </x:xf>
    <x:xf numFmtId="0" fontId="9" fillId="8" borderId="10" xfId="0" applyNumberFormat="1" applyFont="1" applyFill="1" applyBorder="1" applyAlignment="1">
      <x:alignment vertical="center" wrapText="1"/>
    </x:xf>
    <x:xf numFmtId="0" fontId="9" fillId="8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2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b7400e541143d4" /><Relationship Type="http://schemas.openxmlformats.org/officeDocument/2006/relationships/theme" Target="/xl/theme/theme1.xml" Id="R4d118dc6f7054f8e" /><Relationship Type="http://schemas.openxmlformats.org/officeDocument/2006/relationships/sharedStrings" Target="/xl/sharedStrings.xml" Id="R22546f4a492f44e9" /><Relationship Type="http://schemas.openxmlformats.org/officeDocument/2006/relationships/worksheet" Target="/xl/worksheets/sheet1.xml" Id="Re08a80f746d64b12" /><Relationship Type="http://schemas.openxmlformats.org/officeDocument/2006/relationships/worksheet" Target="/xl/worksheets/sheet2.xml" Id="R67cfe2bc394b4318" /><Relationship Type="http://schemas.openxmlformats.org/officeDocument/2006/relationships/worksheet" Target="/xl/worksheets/sheet3.xml" Id="Ra3aae115720f4da2" /><Relationship Type="http://schemas.openxmlformats.org/officeDocument/2006/relationships/worksheet" Target="/xl/worksheets/sheet4.xml" Id="Rebfc1800613046fd" /><Relationship Type="http://schemas.openxmlformats.org/officeDocument/2006/relationships/worksheet" Target="/xl/worksheets/sheet5.xml" Id="Rbb3eaa594dad46c3" /><Relationship Type="http://schemas.openxmlformats.org/officeDocument/2006/relationships/worksheet" Target="/xl/worksheets/sheet6.xml" Id="R2528acc6af4b4412" /><Relationship Type="http://schemas.openxmlformats.org/officeDocument/2006/relationships/worksheet" Target="/xl/worksheets/sheet7.xml" Id="Rb7175bd0312848d1" /><Relationship Type="http://schemas.microsoft.com/office/2017/10/relationships/person" Target="/xl/persons/person.xml" Id="Re52a91e294f74408" /></Relationships>
</file>

<file path=xl/persons/person.xml><?xml version="1.0" encoding="utf-8"?>
<xltc:personList xmlns:xltc="http://schemas.microsoft.com/office/spreadsheetml/2018/threadedcomments">
  <xltc:person displayName="User" id="{EDA1AC8B-87DD-4E17-82BE-B90DE9D8D047}"/>
</xltc:personList>
</file>

<file path=xl/tables/table1.xml><?xml version="1.0" encoding="utf-8"?>
<x:table xmlns:x="http://schemas.openxmlformats.org/spreadsheetml/2006/main" id="2" name="CustomersTable" displayName="CustomersTable" ref="A4:I12" headerRowCount="1" totalsRowCount="0" totalsRowShown="0">
  <x:autoFilter ref="A4:I12"/>
  <x:tableColumns count="9">
    <x:tableColumn id="1" name="Customer ID"/>
    <x:tableColumn id="2" name="Customer Name"/>
    <x:tableColumn id="3" name="Contact Person"/>
    <x:tableColumn id="4" name="Phone"/>
    <x:tableColumn id="5" name="City"/>
    <x:tableColumn id="6" name="Credit Allowed"/>
    <x:tableColumn id="7" name="Credit Limit"/>
    <x:tableColumn id="8" name="Status"/>
    <x:tableColumn id="9" name="Own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TransactionsTable" displayName="TransactionsTable" ref="A4:L16" headerRowCount="1" totalsRowCount="0" totalsRowShown="0">
  <x:autoFilter ref="A4:L16"/>
  <x:tableColumns count="12">
    <x:tableColumn id="1" name="Transaction ID"/>
    <x:tableColumn id="2" name="Date"/>
    <x:tableColumn id="3" name="Customer ID"/>
    <x:tableColumn id="4" name="Customer"/>
    <x:tableColumn id="5" name="Item"/>
    <x:tableColumn id="6" name="Qty"/>
    <x:tableColumn id="7" name="Unit Price"/>
    <x:tableColumn id="8" name="Total"/>
    <x:tableColumn id="9" name="Owner"/>
    <x:tableColumn id="10" name="Order Status"/>
    <x:tableColumn id="11" name="Payment Status"/>
    <x:tableColumn id="12" name="Shipment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ShipmentsTable" displayName="ShipmentsTable" ref="A4:J14" headerRowCount="1" totalsRowCount="0" totalsRowShown="0">
  <x:autoFilter ref="A4:J14"/>
  <x:tableColumns count="10">
    <x:tableColumn id="1" name="Shipment ID"/>
    <x:tableColumn id="2" name="Transaction ID"/>
    <x:tableColumn id="3" name="Item Shipped"/>
    <x:tableColumn id="4" name="Qty"/>
    <x:tableColumn id="5" name="Ship Date"/>
    <x:tableColumn id="6" name="Courier"/>
    <x:tableColumn id="7" name="Tracking No."/>
    <x:tableColumn id="8" name="Status"/>
    <x:tableColumn id="9" name="Delivered Date"/>
    <x:tableColumn id="10" name="Own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PaymentsTable" displayName="PaymentsTable" ref="A4:J16" headerRowCount="1" totalsRowCount="0" totalsRowShown="0">
  <x:autoFilter ref="A4:J16"/>
  <x:tableColumns count="10">
    <x:tableColumn id="1" name="Payment ID"/>
    <x:tableColumn id="2" name="Transaction ID"/>
    <x:tableColumn id="3" name="Due Date"/>
    <x:tableColumn id="4" name="Invoice Amount"/>
    <x:tableColumn id="5" name="Amount Paid"/>
    <x:tableColumn id="6" name="Balance"/>
    <x:tableColumn id="7" name="Status"/>
    <x:tableColumn id="8" name="Payment Date"/>
    <x:tableColumn id="9" name="Method"/>
    <x:tableColumn id="10" name="Own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TeamDirectoryTable" displayName="TeamDirectoryTable" ref="A4:E7" headerRowCount="1" totalsRowCount="0" totalsRowShown="0">
  <x:autoFilter ref="A4:E7"/>
  <x:tableColumns count="5">
    <x:tableColumn id="1" name="Team ID"/>
    <x:tableColumn id="2" name="Name"/>
    <x:tableColumn id="3" name="Role"/>
    <x:tableColumn id="4" name="Main Responsibility"/>
    <x:tableColumn id="5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TeamTasksTable" displayName="TeamTasksTable" ref="A10:H19" headerRowCount="1" totalsRowCount="0" totalsRowShown="0">
  <x:autoFilter ref="A10:H19"/>
  <x:tableColumns count="8">
    <x:tableColumn id="1" name="Task ID"/>
    <x:tableColumn id="2" name="Owner"/>
    <x:tableColumn id="3" name="Task"/>
    <x:tableColumn id="4" name="Related Transaction"/>
    <x:tableColumn id="5" name="Due Date"/>
    <x:tableColumn id="6" name="Status"/>
    <x:tableColumn id="7" name="Priority"/>
    <x:tableColumn id="8" name="Overdue?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" name="RulesTable" displayName="RulesTable" ref="A4:E9" headerRowCount="1" totalsRowCount="0" totalsRowShown="0">
  <x:autoFilter ref="A4:E9"/>
  <x:tableColumns count="5">
    <x:tableColumn id="1" name="Rule ID"/>
    <x:tableColumn id="2" name="Rule"/>
    <x:tableColumn id="3" name="Simple Logic"/>
    <x:tableColumn id="4" name="Action"/>
    <x:tableColumn id="5" name="Ow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K5" dT="2026-08-30T10:27:22.366" personId="{EDA1AC8B-87DD-4E17-82BE-B90DE9D8D047}" id="{2A4F467A-60E4-4A65-B93E-2B827602306A}">
    <xltc:text>Payment status is calculated from the matching Transaction ID in the Payments sheet.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C5" dT="2026-08-30T10:27:22.364" personId="{EDA1AC8B-87DD-4E17-82BE-B90DE9D8D047}" id="{ED2D1839-EE2F-4932-BE1F-42C764C37590}">
    <xltc:text>Due date is calculated from the transaction date plus the Payment due days setting in Rules &amp; Lists.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421a6e22184b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0368406452bb4f44" /><Relationship Type="http://schemas.openxmlformats.org/officeDocument/2006/relationships/vmlDrawing" Target="/xl/drawings/vmldrawing.vml" Id="R87360976229b4da2" /><Relationship Type="http://schemas.microsoft.com/office/2017/10/relationships/threadedComment" Target="/xl/threadedcomments/threadedcomment.xml" Id="Reacd02b0824f4d28" /><Relationship Type="http://schemas.openxmlformats.org/officeDocument/2006/relationships/table" Target="/xl/tables/table2.xml" Id="Rc2f7b70130394e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96089cbf5640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2.xml" Id="R2882d32f9b774306" /><Relationship Type="http://schemas.openxmlformats.org/officeDocument/2006/relationships/vmlDrawing" Target="/xl/drawings/vmldrawing2.vml" Id="R523cf06a5bb74f35" /><Relationship Type="http://schemas.microsoft.com/office/2017/10/relationships/threadedComment" Target="/xl/threadedcomments/threadedcomment2.xml" Id="R87e1d743ddce465a" /><Relationship Type="http://schemas.openxmlformats.org/officeDocument/2006/relationships/table" Target="/xl/tables/table4.xml" Id="R935165ba78e641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53155d5c1f40e2" /><Relationship Type="http://schemas.openxmlformats.org/officeDocument/2006/relationships/table" Target="/xl/tables/table6.xml" Id="Rf25a7abb904744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44ef7fc844d4c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4" hidden="0" customWidth="1"/>
    <x:col min="4" max="4" width="8" hidden="0" customWidth="1"/>
    <x:col min="5" max="5" width="18" hidden="0" customWidth="1"/>
    <x:col min="6" max="6" width="34" hidden="0" customWidth="1"/>
    <x:col min="7" max="7" width="12" hidden="0" customWidth="1"/>
    <x:col min="8" max="8" width="17" hidden="0" customWidth="1"/>
  </x:cols>
  <x:sheetData>
    <x:row r="1" ht="34" customHeight="1">
      <x:c r="A1" s="3" t="str">
        <x:v>Simple Business Dashboard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A small overview for day-to-day use. The numbers update automatically from the other sheets.</x:v>
      </x:c>
      <x:c r="B2" s="7"/>
      <x:c r="C2" s="7"/>
      <x:c r="D2" s="7"/>
      <x:c r="E2" s="7"/>
      <x:c r="F2" s="7"/>
      <x:c r="G2" s="7"/>
      <x:c r="H2" s="7"/>
    </x:row>
    <x:row r="4">
      <x:c r="A4" s="36" t="str">
        <x:v>Business Summary</x:v>
      </x:c>
      <x:c r="B4" s="36"/>
      <x:c r="D4" s="36" t="str">
        <x:v>What to check today</x:v>
      </x:c>
      <x:c r="E4" s="36"/>
      <x:c r="F4" s="36"/>
      <x:c r="G4" s="36"/>
      <x:c r="H4" s="36"/>
    </x:row>
    <x:row r="5">
      <x:c r="A5" s="39" t="str">
        <x:v>Active customers</x:v>
      </x:c>
      <x:c r="B5" s="48" t="n">
        <x:f>COUNTIF('Customers'!$H$5:$H$12,"Active")</x:f>
        <x:v>7</x:v>
      </x:c>
      <x:c r="D5" s="59" t="str">
        <x:v>1</x:v>
      </x:c>
      <x:c r="E5" s="56" t="str">
        <x:v>Payments</x:v>
      </x:c>
      <x:c r="F5" s="56" t="str">
        <x:v>Look at Overdue and Part Paid rows</x:v>
      </x:c>
      <x:c r="G5" s="56" t="str">
        <x:v>Owner</x:v>
      </x:c>
      <x:c r="H5" s="56" t="str">
        <x:v>Meera</x:v>
      </x:c>
    </x:row>
    <x:row r="6">
      <x:c r="A6" s="40" t="str">
        <x:v>Total sales</x:v>
      </x:c>
      <x:c r="B6" s="51" t="n">
        <x:f>SUM('Transactions'!$H$5:$H$16)</x:f>
        <x:v>160200</x:v>
      </x:c>
      <x:c r="D6" s="60" t="str">
        <x:v>2</x:v>
      </x:c>
      <x:c r="E6" s="57" t="str">
        <x:v>Shipments</x:v>
      </x:c>
      <x:c r="F6" s="57" t="str">
        <x:v>Clear Hold and Ready shipments</x:v>
      </x:c>
      <x:c r="G6" s="57" t="str">
        <x:v>Owner</x:v>
      </x:c>
      <x:c r="H6" s="57" t="str">
        <x:v>Karthik</x:v>
      </x:c>
    </x:row>
    <x:row r="7">
      <x:c r="A7" s="40" t="str">
        <x:v>Amount collected</x:v>
      </x:c>
      <x:c r="B7" s="51" t="n">
        <x:f>SUM('Payments'!$E$5:$E$16)</x:f>
        <x:v>80300</x:v>
      </x:c>
      <x:c r="D7" s="60" t="str">
        <x:v>3</x:v>
      </x:c>
      <x:c r="E7" s="57" t="str">
        <x:v>Customers</x:v>
      </x:c>
      <x:c r="F7" s="57" t="str">
        <x:v>Confirm inactive customers before sale</x:v>
      </x:c>
      <x:c r="G7" s="57" t="str">
        <x:v>Owner</x:v>
      </x:c>
      <x:c r="H7" s="57" t="str">
        <x:v>Anika</x:v>
      </x:c>
    </x:row>
    <x:row r="8">
      <x:c r="A8" s="40" t="str">
        <x:v>Outstanding payment</x:v>
      </x:c>
      <x:c r="B8" s="51" t="n">
        <x:f>SUM('Payments'!$F$5:$F$16)</x:f>
        <x:v>79900</x:v>
      </x:c>
      <x:c r="D8" s="60" t="str">
        <x:v>4</x:v>
      </x:c>
      <x:c r="E8" s="57" t="str">
        <x:v>Transactions</x:v>
      </x:c>
      <x:c r="F8" s="57" t="str">
        <x:v>Every row needs one owner</x:v>
      </x:c>
      <x:c r="G8" s="57" t="str">
        <x:v>Rule</x:v>
      </x:c>
      <x:c r="H8" s="57" t="str">
        <x:v>R-04</x:v>
      </x:c>
    </x:row>
    <x:row r="9">
      <x:c r="A9" s="40" t="str">
        <x:v>Pending shipments</x:v>
      </x:c>
      <x:c r="B9" s="49" t="n">
        <x:f>COUNTIF('Shipments'!$H$5:$H$14,"Ready")+COUNTIF('Shipments'!$H$5:$H$14,"Shipped")+COUNTIF('Shipments'!$H$5:$H$14,"Hold")</x:f>
        <x:v>7</x:v>
      </x:c>
      <x:c r="D9" s="61" t="str">
        <x:v>5</x:v>
      </x:c>
      <x:c r="E9" s="58" t="str">
        <x:v>Team</x:v>
      </x:c>
      <x:c r="F9" s="58" t="str">
        <x:v>Finish overdue tasks first</x:v>
      </x:c>
      <x:c r="G9" s="58" t="str">
        <x:v>Rule</x:v>
      </x:c>
      <x:c r="H9" s="58" t="str">
        <x:v>Task Overdue?</x:v>
      </x:c>
    </x:row>
    <x:row r="10">
      <x:c r="A10" s="41" t="str">
        <x:v>Open team tasks</x:v>
      </x:c>
      <x:c r="B10" s="50" t="n">
        <x:f>COUNTIF('Team'!$F$11:$F$19,"Not Started")+COUNTIF('Team'!$F$11:$F$19,"In Progress")</x:f>
        <x:v>9</x:v>
      </x:c>
    </x:row>
    <x:row r="13">
      <x:c r="A13" s="81" t="str">
        <x:v>How to use: add customers first, then transactions. Payments and shipments link through Transaction ID. The Team sheet shows what the three members are doing. Change the small settings only in Rules &amp; Lists.</x:v>
      </x:c>
      <x:c r="B13" s="82"/>
      <x:c r="C13" s="82"/>
      <x:c r="D13" s="82"/>
      <x:c r="E13" s="82"/>
      <x:c r="F13" s="82"/>
      <x:c r="G13" s="82"/>
      <x:c r="H13" s="83"/>
    </x:row>
    <x:row r="14">
      <x:c r="A14" s="84"/>
      <x:c r="B14" s="85"/>
      <x:c r="C14" s="85"/>
      <x:c r="D14" s="85"/>
      <x:c r="E14" s="85"/>
      <x:c r="F14" s="85"/>
      <x:c r="G14" s="85"/>
      <x:c r="H14" s="86"/>
    </x:row>
    <x:row r="15">
      <x:c r="A15" s="87"/>
      <x:c r="B15" s="88"/>
      <x:c r="C15" s="88"/>
      <x:c r="D15" s="88"/>
      <x:c r="E15" s="88"/>
      <x:c r="F15" s="88"/>
      <x:c r="G15" s="88"/>
      <x:c r="H15" s="89"/>
    </x:row>
  </x:sheetData>
  <x:mergeCells>
    <x:mergeCell ref="A1:H1"/>
    <x:mergeCell ref="A2:H2"/>
    <x:mergeCell ref="A4:B4"/>
    <x:mergeCell ref="D4:H4"/>
    <x:mergeCell ref="A13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18" hidden="0" customWidth="1"/>
    <x:col min="5" max="5" width="16" hidden="0" customWidth="1"/>
    <x:col min="6" max="6" width="15" hidden="0" customWidth="1"/>
    <x:col min="7" max="7" width="15" hidden="0" customWidth="1"/>
    <x:col min="8" max="8" width="12" hidden="0" customWidth="1"/>
    <x:col min="9" max="9" width="13" hidden="0" customWidth="1"/>
  </x:cols>
  <x:sheetData>
    <x:row r="1" ht="34" customHeight="1">
      <x:c r="A1" s="3" t="str">
        <x:v>Customers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Simple customer master list. All records are fictional samples.</x:v>
      </x:c>
      <x:c r="B2" s="7"/>
      <x:c r="C2" s="7"/>
      <x:c r="D2" s="7"/>
      <x:c r="E2" s="7"/>
      <x:c r="F2" s="7"/>
      <x:c r="G2" s="7"/>
      <x:c r="H2" s="7"/>
      <x:c r="I2" s="7"/>
    </x:row>
    <x:row r="4" ht="28" customHeight="1">
      <x:c r="A4" s="11" t="str">
        <x:v>Customer ID</x:v>
      </x:c>
      <x:c r="B4" s="11" t="str">
        <x:v>Customer Name</x:v>
      </x:c>
      <x:c r="C4" s="11" t="str">
        <x:v>Contact Person</x:v>
      </x:c>
      <x:c r="D4" s="11" t="str">
        <x:v>Phone</x:v>
      </x:c>
      <x:c r="E4" s="11" t="str">
        <x:v>City</x:v>
      </x:c>
      <x:c r="F4" s="11" t="str">
        <x:v>Credit Allowed</x:v>
      </x:c>
      <x:c r="G4" s="11" t="str">
        <x:v>Credit Limit</x:v>
      </x:c>
      <x:c r="H4" s="11" t="str">
        <x:v>Status</x:v>
      </x:c>
      <x:c r="I4" s="11" t="str">
        <x:v>Owner</x:v>
      </x:c>
    </x:row>
    <x:row r="5">
      <x:c r="A5" s="16" t="str">
        <x:v>C-001</x:v>
      </x:c>
      <x:c r="B5" s="16" t="str">
        <x:v>Arun Stores</x:v>
      </x:c>
      <x:c r="C5" s="16" t="str">
        <x:v>Arun Kumar</x:v>
      </x:c>
      <x:c r="D5" s="16" t="str">
        <x:v>+91 90000 21001</x:v>
      </x:c>
      <x:c r="E5" s="16" t="str">
        <x:v>Chennai</x:v>
      </x:c>
      <x:c r="F5" s="16" t="str">
        <x:v>Yes</x:v>
      </x:c>
      <x:c r="G5" s="21" t="n">
        <x:v>50000</x:v>
      </x:c>
      <x:c r="H5" s="16" t="str">
        <x:v>Active</x:v>
      </x:c>
      <x:c r="I5" s="16" t="str">
        <x:v>Anika</x:v>
      </x:c>
    </x:row>
    <x:row r="6">
      <x:c r="A6" s="17" t="str">
        <x:v>C-002</x:v>
      </x:c>
      <x:c r="B6" s="17" t="str">
        <x:v>Bloom Cafe</x:v>
      </x:c>
      <x:c r="C6" s="17" t="str">
        <x:v>Riya Shah</x:v>
      </x:c>
      <x:c r="D6" s="17" t="str">
        <x:v>+91 90000 21002</x:v>
      </x:c>
      <x:c r="E6" s="17" t="str">
        <x:v>Bengaluru</x:v>
      </x:c>
      <x:c r="F6" s="17" t="str">
        <x:v>No</x:v>
      </x:c>
      <x:c r="G6" s="22" t="n">
        <x:v>0</x:v>
      </x:c>
      <x:c r="H6" s="17" t="str">
        <x:v>Active</x:v>
      </x:c>
      <x:c r="I6" s="17" t="str">
        <x:v>Anika</x:v>
      </x:c>
    </x:row>
    <x:row r="7">
      <x:c r="A7" s="17" t="str">
        <x:v>C-003</x:v>
      </x:c>
      <x:c r="B7" s="17" t="str">
        <x:v>Green Leaf Traders</x:v>
      </x:c>
      <x:c r="C7" s="17" t="str">
        <x:v>Naveen Raj</x:v>
      </x:c>
      <x:c r="D7" s="17" t="str">
        <x:v>+91 90000 21003</x:v>
      </x:c>
      <x:c r="E7" s="17" t="str">
        <x:v>Coimbatore</x:v>
      </x:c>
      <x:c r="F7" s="17" t="str">
        <x:v>Yes</x:v>
      </x:c>
      <x:c r="G7" s="22" t="n">
        <x:v>75000</x:v>
      </x:c>
      <x:c r="H7" s="17" t="str">
        <x:v>Active</x:v>
      </x:c>
      <x:c r="I7" s="17" t="str">
        <x:v>Anika</x:v>
      </x:c>
    </x:row>
    <x:row r="8">
      <x:c r="A8" s="17" t="str">
        <x:v>C-004</x:v>
      </x:c>
      <x:c r="B8" s="17" t="str">
        <x:v>Metro Prints</x:v>
      </x:c>
      <x:c r="C8" s="17" t="str">
        <x:v>Farah Ali</x:v>
      </x:c>
      <x:c r="D8" s="17" t="str">
        <x:v>+91 90000 21004</x:v>
      </x:c>
      <x:c r="E8" s="17" t="str">
        <x:v>Hyderabad</x:v>
      </x:c>
      <x:c r="F8" s="17" t="str">
        <x:v>Yes</x:v>
      </x:c>
      <x:c r="G8" s="22" t="n">
        <x:v>40000</x:v>
      </x:c>
      <x:c r="H8" s="17" t="str">
        <x:v>Active</x:v>
      </x:c>
      <x:c r="I8" s="17" t="str">
        <x:v>Anika</x:v>
      </x:c>
    </x:row>
    <x:row r="9">
      <x:c r="A9" s="17" t="str">
        <x:v>C-005</x:v>
      </x:c>
      <x:c r="B9" s="17" t="str">
        <x:v>Nila Bakery</x:v>
      </x:c>
      <x:c r="C9" s="17" t="str">
        <x:v>Deepa Nair</x:v>
      </x:c>
      <x:c r="D9" s="17" t="str">
        <x:v>+91 90000 21005</x:v>
      </x:c>
      <x:c r="E9" s="17" t="str">
        <x:v>Kochi</x:v>
      </x:c>
      <x:c r="F9" s="17" t="str">
        <x:v>No</x:v>
      </x:c>
      <x:c r="G9" s="22" t="n">
        <x:v>0</x:v>
      </x:c>
      <x:c r="H9" s="17" t="str">
        <x:v>Active</x:v>
      </x:c>
      <x:c r="I9" s="17" t="str">
        <x:v>Anika</x:v>
      </x:c>
    </x:row>
    <x:row r="10">
      <x:c r="A10" s="17" t="str">
        <x:v>C-006</x:v>
      </x:c>
      <x:c r="B10" s="17" t="str">
        <x:v>Orbit Office</x:v>
      </x:c>
      <x:c r="C10" s="17" t="str">
        <x:v>Vikram Rao</x:v>
      </x:c>
      <x:c r="D10" s="17" t="str">
        <x:v>+91 90000 21006</x:v>
      </x:c>
      <x:c r="E10" s="17" t="str">
        <x:v>Pune</x:v>
      </x:c>
      <x:c r="F10" s="17" t="str">
        <x:v>Yes</x:v>
      </x:c>
      <x:c r="G10" s="22" t="n">
        <x:v>100000</x:v>
      </x:c>
      <x:c r="H10" s="17" t="str">
        <x:v>Active</x:v>
      </x:c>
      <x:c r="I10" s="17" t="str">
        <x:v>Anika</x:v>
      </x:c>
    </x:row>
    <x:row r="11">
      <x:c r="A11" s="17" t="str">
        <x:v>C-007</x:v>
      </x:c>
      <x:c r="B11" s="17" t="str">
        <x:v>Pearl Gifts</x:v>
      </x:c>
      <x:c r="C11" s="17" t="str">
        <x:v>Sara Khan</x:v>
      </x:c>
      <x:c r="D11" s="17" t="str">
        <x:v>+91 90000 21007</x:v>
      </x:c>
      <x:c r="E11" s="17" t="str">
        <x:v>Mumbai</x:v>
      </x:c>
      <x:c r="F11" s="17" t="str">
        <x:v>No</x:v>
      </x:c>
      <x:c r="G11" s="22" t="n">
        <x:v>0</x:v>
      </x:c>
      <x:c r="H11" s="17" t="str">
        <x:v>Active</x:v>
      </x:c>
      <x:c r="I11" s="17" t="str">
        <x:v>Anika</x:v>
      </x:c>
    </x:row>
    <x:row r="12">
      <x:c r="A12" s="18" t="str">
        <x:v>C-008</x:v>
      </x:c>
      <x:c r="B12" s="18" t="str">
        <x:v>Riya Events</x:v>
      </x:c>
      <x:c r="C12" s="18" t="str">
        <x:v>Kavin Das</x:v>
      </x:c>
      <x:c r="D12" s="18" t="str">
        <x:v>+91 90000 21008</x:v>
      </x:c>
      <x:c r="E12" s="18" t="str">
        <x:v>Madurai</x:v>
      </x:c>
      <x:c r="F12" s="18" t="str">
        <x:v>Yes</x:v>
      </x:c>
      <x:c r="G12" s="23" t="n">
        <x:v>30000</x:v>
      </x:c>
      <x:c r="H12" s="18" t="str">
        <x:v>Inactive</x:v>
      </x:c>
      <x:c r="I12" s="18" t="str">
        <x:v>Anika</x:v>
      </x:c>
    </x:row>
  </x:sheetData>
  <x:mergeCells>
    <x:mergeCell ref="A1:I1"/>
    <x:mergeCell ref="A2:I2"/>
  </x:mergeCells>
  <x:conditionalFormatting sqref="H5:H12">
    <x:cfRule type="expression" dxfId="0" priority="1">
      <x:formula>$H5="Inactive"</x:formula>
    </x:cfRule>
  </x:conditionalFormatting>
  <x:dataValidations count="3">
    <x:dataValidation type="list" sqref="F5:F12">
      <x:formula1>"Yes,No"</x:formula1>
    </x:dataValidation>
    <x:dataValidation type="list" sqref="H5:H12">
      <x:formula1>"Active,Inactive"</x:formula1>
    </x:dataValidation>
    <x:dataValidation type="list" sqref="I5:I12">
      <x:formula1>"Anika,Karthik,Meera"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421a6e22184b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23" hidden="0" customWidth="1"/>
    <x:col min="5" max="5" width="22" hidden="0" customWidth="1"/>
    <x:col min="6" max="6" width="9" hidden="0" customWidth="1"/>
    <x:col min="7" max="7" width="14" hidden="0" customWidth="1"/>
    <x:col min="8" max="8" width="14" hidden="0" customWidth="1"/>
    <x:col min="9" max="9" width="13" hidden="0" customWidth="1"/>
    <x:col min="10" max="10" width="15" hidden="0" customWidth="1"/>
    <x:col min="11" max="11" width="15" hidden="0" customWidth="1"/>
    <x:col min="12" max="12" width="16" hidden="0" customWidth="1"/>
  </x:cols>
  <x:sheetData>
    <x:row r="1" ht="34" customHeight="1">
      <x:c r="A1" s="3" t="str">
        <x:v>Sales Transactions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7" t="str">
        <x:v>Each row is one customer transaction. Yellow columns are calculated from quantity, payments and shipments.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28" customHeight="1">
      <x:c r="A4" s="11" t="str">
        <x:v>Transaction ID</x:v>
      </x:c>
      <x:c r="B4" s="11" t="str">
        <x:v>Date</x:v>
      </x:c>
      <x:c r="C4" s="11" t="str">
        <x:v>Customer ID</x:v>
      </x:c>
      <x:c r="D4" s="11" t="str">
        <x:v>Customer</x:v>
      </x:c>
      <x:c r="E4" s="11" t="str">
        <x:v>Item</x:v>
      </x:c>
      <x:c r="F4" s="11" t="str">
        <x:v>Qty</x:v>
      </x:c>
      <x:c r="G4" s="11" t="str">
        <x:v>Unit Price</x:v>
      </x:c>
      <x:c r="H4" s="11" t="str">
        <x:v>Total</x:v>
      </x:c>
      <x:c r="I4" s="11" t="str">
        <x:v>Owner</x:v>
      </x:c>
      <x:c r="J4" s="11" t="str">
        <x:v>Order Status</x:v>
      </x:c>
      <x:c r="K4" s="11" t="str">
        <x:v>Payment Status</x:v>
      </x:c>
      <x:c r="L4" s="11" t="str">
        <x:v>Shipment Status</x:v>
      </x:c>
    </x:row>
    <x:row r="5">
      <x:c r="A5" s="16" t="str">
        <x:v>TXN-1001</x:v>
      </x:c>
      <x:c r="B5" s="24" t="n">
        <x:v>46244</x:v>
      </x:c>
      <x:c r="C5" s="16" t="str">
        <x:v>C-001</x:v>
      </x:c>
      <x:c r="D5" s="16" t="str">
        <x:v>Arun Stores</x:v>
      </x:c>
      <x:c r="E5" s="16" t="str">
        <x:v>Eco Bottles</x:v>
      </x:c>
      <x:c r="F5" s="16" t="n">
        <x:v>40</x:v>
      </x:c>
      <x:c r="G5" s="21" t="n">
        <x:v>450</x:v>
      </x:c>
      <x:c r="H5" s="27" t="n">
        <x:f>F5*G5</x:f>
        <x:v>18000</x:v>
      </x:c>
      <x:c r="I5" s="16" t="str">
        <x:v>Anika</x:v>
      </x:c>
      <x:c r="J5" s="16" t="str">
        <x:v>Completed</x:v>
      </x:c>
      <x:c r="K5" s="30" t="str">
        <x:f>IF(COUNTIFS('Payments'!$B$5:$B$16,A5,'Payments'!$G$5:$G$16,"Paid")&gt;0,"Paid",IF(COUNTIFS('Payments'!$B$5:$B$16,A5,'Payments'!$G$5:$G$16,"Part Paid")&gt;0,"Part Paid",IF(COUNTIFS('Payments'!$B$5:$B$16,A5,'Payments'!$G$5:$G$16,"Overdue")&gt;0,"Overdue","Unpaid")))</x:f>
        <x:v>Paid</x:v>
      </x:c>
      <x:c r="L5" s="30" t="str">
        <x:f>IF(COUNTIF('Shipments'!$B$5:$B$14,A5)=0,"Not Created",IF(COUNTIFS('Shipments'!$B$5:$B$14,A5,'Shipments'!$H$5:$H$14,"Delivered")&gt;0,"Delivered",IF(COUNTIFS('Shipments'!$B$5:$B$14,A5,'Shipments'!$H$5:$H$14,"Shipped")&gt;0,"Shipped",IF(COUNTIFS('Shipments'!$B$5:$B$14,A5,'Shipments'!$H$5:$H$14,"Ready")&gt;0,"Ready","Hold"))))</x:f>
        <x:v>Delivered</x:v>
      </x:c>
    </x:row>
    <x:row r="6">
      <x:c r="A6" s="17" t="str">
        <x:v>TXN-1002</x:v>
      </x:c>
      <x:c r="B6" s="25" t="n">
        <x:v>46246</x:v>
      </x:c>
      <x:c r="C6" s="17" t="str">
        <x:v>C-002</x:v>
      </x:c>
      <x:c r="D6" s="17" t="str">
        <x:v>Bloom Cafe</x:v>
      </x:c>
      <x:c r="E6" s="17" t="str">
        <x:v>Cotton Tote Bags</x:v>
      </x:c>
      <x:c r="F6" s="17" t="n">
        <x:v>30</x:v>
      </x:c>
      <x:c r="G6" s="22" t="n">
        <x:v>250</x:v>
      </x:c>
      <x:c r="H6" s="28" t="n">
        <x:f>F6*G6</x:f>
        <x:v>7500</x:v>
      </x:c>
      <x:c r="I6" s="17" t="str">
        <x:v>Anika</x:v>
      </x:c>
      <x:c r="J6" s="17" t="str">
        <x:v>Completed</x:v>
      </x:c>
      <x:c r="K6" s="31" t="str">
        <x:f>IF(COUNTIFS('Payments'!$B$5:$B$16,A6,'Payments'!$G$5:$G$16,"Paid")&gt;0,"Paid",IF(COUNTIFS('Payments'!$B$5:$B$16,A6,'Payments'!$G$5:$G$16,"Part Paid")&gt;0,"Part Paid",IF(COUNTIFS('Payments'!$B$5:$B$16,A6,'Payments'!$G$5:$G$16,"Overdue")&gt;0,"Overdue","Unpaid")))</x:f>
        <x:v>Paid</x:v>
      </x:c>
      <x:c r="L6" s="31" t="str">
        <x:f>IF(COUNTIF('Shipments'!$B$5:$B$14,A6)=0,"Not Created",IF(COUNTIFS('Shipments'!$B$5:$B$14,A6,'Shipments'!$H$5:$H$14,"Delivered")&gt;0,"Delivered",IF(COUNTIFS('Shipments'!$B$5:$B$14,A6,'Shipments'!$H$5:$H$14,"Shipped")&gt;0,"Shipped",IF(COUNTIFS('Shipments'!$B$5:$B$14,A6,'Shipments'!$H$5:$H$14,"Ready")&gt;0,"Ready","Hold"))))</x:f>
        <x:v>Delivered</x:v>
      </x:c>
    </x:row>
    <x:row r="7">
      <x:c r="A7" s="17" t="str">
        <x:v>TXN-1003</x:v>
      </x:c>
      <x:c r="B7" s="25" t="n">
        <x:v>46248</x:v>
      </x:c>
      <x:c r="C7" s="17" t="str">
        <x:v>C-003</x:v>
      </x:c>
      <x:c r="D7" s="17" t="str">
        <x:v>Green Leaf Traders</x:v>
      </x:c>
      <x:c r="E7" s="17" t="str">
        <x:v>A5 Notebooks</x:v>
      </x:c>
      <x:c r="F7" s="17" t="n">
        <x:v>100</x:v>
      </x:c>
      <x:c r="G7" s="22" t="n">
        <x:v>180</x:v>
      </x:c>
      <x:c r="H7" s="28" t="n">
        <x:f>F7*G7</x:f>
        <x:v>18000</x:v>
      </x:c>
      <x:c r="I7" s="17" t="str">
        <x:v>Anika</x:v>
      </x:c>
      <x:c r="J7" s="17" t="str">
        <x:v>Processing</x:v>
      </x:c>
      <x:c r="K7" s="31" t="str">
        <x:f>IF(COUNTIFS('Payments'!$B$5:$B$16,A7,'Payments'!$G$5:$G$16,"Paid")&gt;0,"Paid",IF(COUNTIFS('Payments'!$B$5:$B$16,A7,'Payments'!$G$5:$G$16,"Part Paid")&gt;0,"Part Paid",IF(COUNTIFS('Payments'!$B$5:$B$16,A7,'Payments'!$G$5:$G$16,"Overdue")&gt;0,"Overdue","Unpaid")))</x:f>
        <x:v>Part Paid</x:v>
      </x:c>
      <x:c r="L7" s="31" t="str">
        <x:f>IF(COUNTIF('Shipments'!$B$5:$B$14,A7)=0,"Not Created",IF(COUNTIFS('Shipments'!$B$5:$B$14,A7,'Shipments'!$H$5:$H$14,"Delivered")&gt;0,"Delivered",IF(COUNTIFS('Shipments'!$B$5:$B$14,A7,'Shipments'!$H$5:$H$14,"Shipped")&gt;0,"Shipped",IF(COUNTIFS('Shipments'!$B$5:$B$14,A7,'Shipments'!$H$5:$H$14,"Ready")&gt;0,"Ready","Hold"))))</x:f>
        <x:v>Shipped</x:v>
      </x:c>
    </x:row>
    <x:row r="8">
      <x:c r="A8" s="17" t="str">
        <x:v>TXN-1004</x:v>
      </x:c>
      <x:c r="B8" s="25" t="n">
        <x:v>46250</x:v>
      </x:c>
      <x:c r="C8" s="17" t="str">
        <x:v>C-004</x:v>
      </x:c>
      <x:c r="D8" s="17" t="str">
        <x:v>Metro Prints</x:v>
      </x:c>
      <x:c r="E8" s="17" t="str">
        <x:v>Gift Boxes</x:v>
      </x:c>
      <x:c r="F8" s="17" t="n">
        <x:v>50</x:v>
      </x:c>
      <x:c r="G8" s="22" t="n">
        <x:v>320</x:v>
      </x:c>
      <x:c r="H8" s="28" t="n">
        <x:f>F8*G8</x:f>
        <x:v>16000</x:v>
      </x:c>
      <x:c r="I8" s="17" t="str">
        <x:v>Karthik</x:v>
      </x:c>
      <x:c r="J8" s="17" t="str">
        <x:v>Processing</x:v>
      </x:c>
      <x:c r="K8" s="31" t="str">
        <x:f>IF(COUNTIFS('Payments'!$B$5:$B$16,A8,'Payments'!$G$5:$G$16,"Paid")&gt;0,"Paid",IF(COUNTIFS('Payments'!$B$5:$B$16,A8,'Payments'!$G$5:$G$16,"Part Paid")&gt;0,"Part Paid",IF(COUNTIFS('Payments'!$B$5:$B$16,A8,'Payments'!$G$5:$G$16,"Overdue")&gt;0,"Overdue","Unpaid")))</x:f>
        <x:v>Overdue</x:v>
      </x:c>
      <x:c r="L8" s="31" t="str">
        <x:f>IF(COUNTIF('Shipments'!$B$5:$B$14,A8)=0,"Not Created",IF(COUNTIFS('Shipments'!$B$5:$B$14,A8,'Shipments'!$H$5:$H$14,"Delivered")&gt;0,"Delivered",IF(COUNTIFS('Shipments'!$B$5:$B$14,A8,'Shipments'!$H$5:$H$14,"Shipped")&gt;0,"Shipped",IF(COUNTIFS('Shipments'!$B$5:$B$14,A8,'Shipments'!$H$5:$H$14,"Ready")&gt;0,"Ready","Hold"))))</x:f>
        <x:v>Hold</x:v>
      </x:c>
    </x:row>
    <x:row r="9">
      <x:c r="A9" s="17" t="str">
        <x:v>TXN-1005</x:v>
      </x:c>
      <x:c r="B9" s="25" t="n">
        <x:v>46252</x:v>
      </x:c>
      <x:c r="C9" s="17" t="str">
        <x:v>C-005</x:v>
      </x:c>
      <x:c r="D9" s="17" t="str">
        <x:v>Nila Bakery</x:v>
      </x:c>
      <x:c r="E9" s="17" t="str">
        <x:v>Paper Bags</x:v>
      </x:c>
      <x:c r="F9" s="17" t="n">
        <x:v>200</x:v>
      </x:c>
      <x:c r="G9" s="22" t="n">
        <x:v>12</x:v>
      </x:c>
      <x:c r="H9" s="28" t="n">
        <x:f>F9*G9</x:f>
        <x:v>2400</x:v>
      </x:c>
      <x:c r="I9" s="17" t="str">
        <x:v>Anika</x:v>
      </x:c>
      <x:c r="J9" s="17" t="str">
        <x:v>Completed</x:v>
      </x:c>
      <x:c r="K9" s="31" t="str">
        <x:f>IF(COUNTIFS('Payments'!$B$5:$B$16,A9,'Payments'!$G$5:$G$16,"Paid")&gt;0,"Paid",IF(COUNTIFS('Payments'!$B$5:$B$16,A9,'Payments'!$G$5:$G$16,"Part Paid")&gt;0,"Part Paid",IF(COUNTIFS('Payments'!$B$5:$B$16,A9,'Payments'!$G$5:$G$16,"Overdue")&gt;0,"Overdue","Unpaid")))</x:f>
        <x:v>Paid</x:v>
      </x:c>
      <x:c r="L9" s="31" t="str">
        <x:f>IF(COUNTIF('Shipments'!$B$5:$B$14,A9)=0,"Not Created",IF(COUNTIFS('Shipments'!$B$5:$B$14,A9,'Shipments'!$H$5:$H$14,"Delivered")&gt;0,"Delivered",IF(COUNTIFS('Shipments'!$B$5:$B$14,A9,'Shipments'!$H$5:$H$14,"Shipped")&gt;0,"Shipped",IF(COUNTIFS('Shipments'!$B$5:$B$14,A9,'Shipments'!$H$5:$H$14,"Ready")&gt;0,"Ready","Hold"))))</x:f>
        <x:v>Delivered</x:v>
      </x:c>
    </x:row>
    <x:row r="10">
      <x:c r="A10" s="17" t="str">
        <x:v>TXN-1006</x:v>
      </x:c>
      <x:c r="B10" s="25" t="n">
        <x:v>46254</x:v>
      </x:c>
      <x:c r="C10" s="17" t="str">
        <x:v>C-006</x:v>
      </x:c>
      <x:c r="D10" s="17" t="str">
        <x:v>Orbit Office</x:v>
      </x:c>
      <x:c r="E10" s="17" t="str">
        <x:v>Desk Organizers</x:v>
      </x:c>
      <x:c r="F10" s="17" t="n">
        <x:v>25</x:v>
      </x:c>
      <x:c r="G10" s="22" t="n">
        <x:v>550</x:v>
      </x:c>
      <x:c r="H10" s="28" t="n">
        <x:f>F10*G10</x:f>
        <x:v>13750</x:v>
      </x:c>
      <x:c r="I10" s="17" t="str">
        <x:v>Karthik</x:v>
      </x:c>
      <x:c r="J10" s="17" t="str">
        <x:v>Processing</x:v>
      </x:c>
      <x:c r="K10" s="31" t="str">
        <x:f>IF(COUNTIFS('Payments'!$B$5:$B$16,A10,'Payments'!$G$5:$G$16,"Paid")&gt;0,"Paid",IF(COUNTIFS('Payments'!$B$5:$B$16,A10,'Payments'!$G$5:$G$16,"Part Paid")&gt;0,"Part Paid",IF(COUNTIFS('Payments'!$B$5:$B$16,A10,'Payments'!$G$5:$G$16,"Overdue")&gt;0,"Overdue","Unpaid")))</x:f>
        <x:v>Part Paid</x:v>
      </x:c>
      <x:c r="L10" s="31" t="str">
        <x:f>IF(COUNTIF('Shipments'!$B$5:$B$14,A10)=0,"Not Created",IF(COUNTIFS('Shipments'!$B$5:$B$14,A10,'Shipments'!$H$5:$H$14,"Delivered")&gt;0,"Delivered",IF(COUNTIFS('Shipments'!$B$5:$B$14,A10,'Shipments'!$H$5:$H$14,"Shipped")&gt;0,"Shipped",IF(COUNTIFS('Shipments'!$B$5:$B$14,A10,'Shipments'!$H$5:$H$14,"Ready")&gt;0,"Ready","Hold"))))</x:f>
        <x:v>Shipped</x:v>
      </x:c>
    </x:row>
    <x:row r="11">
      <x:c r="A11" s="17" t="str">
        <x:v>TXN-1007</x:v>
      </x:c>
      <x:c r="B11" s="25" t="n">
        <x:v>46256</x:v>
      </x:c>
      <x:c r="C11" s="17" t="str">
        <x:v>C-007</x:v>
      </x:c>
      <x:c r="D11" s="17" t="str">
        <x:v>Pearl Gifts</x:v>
      </x:c>
      <x:c r="E11" s="17" t="str">
        <x:v>Gift Boxes</x:v>
      </x:c>
      <x:c r="F11" s="17" t="n">
        <x:v>80</x:v>
      </x:c>
      <x:c r="G11" s="22" t="n">
        <x:v>320</x:v>
      </x:c>
      <x:c r="H11" s="28" t="n">
        <x:f>F11*G11</x:f>
        <x:v>25600</x:v>
      </x:c>
      <x:c r="I11" s="17" t="str">
        <x:v>Anika</x:v>
      </x:c>
      <x:c r="J11" s="17" t="str">
        <x:v>Confirmed</x:v>
      </x:c>
      <x:c r="K11" s="31" t="str">
        <x:f>IF(COUNTIFS('Payments'!$B$5:$B$16,A11,'Payments'!$G$5:$G$16,"Paid")&gt;0,"Paid",IF(COUNTIFS('Payments'!$B$5:$B$16,A11,'Payments'!$G$5:$G$16,"Part Paid")&gt;0,"Part Paid",IF(COUNTIFS('Payments'!$B$5:$B$16,A11,'Payments'!$G$5:$G$16,"Overdue")&gt;0,"Overdue","Unpaid")))</x:f>
        <x:v>Overdue</x:v>
      </x:c>
      <x:c r="L11" s="31" t="str">
        <x:f>IF(COUNTIF('Shipments'!$B$5:$B$14,A11)=0,"Not Created",IF(COUNTIFS('Shipments'!$B$5:$B$14,A11,'Shipments'!$H$5:$H$14,"Delivered")&gt;0,"Delivered",IF(COUNTIFS('Shipments'!$B$5:$B$14,A11,'Shipments'!$H$5:$H$14,"Shipped")&gt;0,"Shipped",IF(COUNTIFS('Shipments'!$B$5:$B$14,A11,'Shipments'!$H$5:$H$14,"Ready")&gt;0,"Ready","Hold"))))</x:f>
        <x:v>Ready</x:v>
      </x:c>
    </x:row>
    <x:row r="12">
      <x:c r="A12" s="17" t="str">
        <x:v>TXN-1008</x:v>
      </x:c>
      <x:c r="B12" s="25" t="n">
        <x:v>46257</x:v>
      </x:c>
      <x:c r="C12" s="17" t="str">
        <x:v>C-001</x:v>
      </x:c>
      <x:c r="D12" s="17" t="str">
        <x:v>Arun Stores</x:v>
      </x:c>
      <x:c r="E12" s="17" t="str">
        <x:v>A5 Notebooks</x:v>
      </x:c>
      <x:c r="F12" s="17" t="n">
        <x:v>60</x:v>
      </x:c>
      <x:c r="G12" s="22" t="n">
        <x:v>180</x:v>
      </x:c>
      <x:c r="H12" s="28" t="n">
        <x:f>F12*G12</x:f>
        <x:v>10800</x:v>
      </x:c>
      <x:c r="I12" s="17" t="str">
        <x:v>Meera</x:v>
      </x:c>
      <x:c r="J12" s="17" t="str">
        <x:v>Processing</x:v>
      </x:c>
      <x:c r="K12" s="31" t="str">
        <x:f>IF(COUNTIFS('Payments'!$B$5:$B$16,A12,'Payments'!$G$5:$G$16,"Paid")&gt;0,"Paid",IF(COUNTIFS('Payments'!$B$5:$B$16,A12,'Payments'!$G$5:$G$16,"Part Paid")&gt;0,"Part Paid",IF(COUNTIFS('Payments'!$B$5:$B$16,A12,'Payments'!$G$5:$G$16,"Overdue")&gt;0,"Overdue","Unpaid")))</x:f>
        <x:v>Paid</x:v>
      </x:c>
      <x:c r="L12" s="31" t="str">
        <x:f>IF(COUNTIF('Shipments'!$B$5:$B$14,A12)=0,"Not Created",IF(COUNTIFS('Shipments'!$B$5:$B$14,A12,'Shipments'!$H$5:$H$14,"Delivered")&gt;0,"Delivered",IF(COUNTIFS('Shipments'!$B$5:$B$14,A12,'Shipments'!$H$5:$H$14,"Shipped")&gt;0,"Shipped",IF(COUNTIFS('Shipments'!$B$5:$B$14,A12,'Shipments'!$H$5:$H$14,"Ready")&gt;0,"Ready","Hold"))))</x:f>
        <x:v>Shipped</x:v>
      </x:c>
    </x:row>
    <x:row r="13">
      <x:c r="A13" s="17" t="str">
        <x:v>TXN-1009</x:v>
      </x:c>
      <x:c r="B13" s="25" t="n">
        <x:v>46258</x:v>
      </x:c>
      <x:c r="C13" s="17" t="str">
        <x:v>C-003</x:v>
      </x:c>
      <x:c r="D13" s="17" t="str">
        <x:v>Green Leaf Traders</x:v>
      </x:c>
      <x:c r="E13" s="17" t="str">
        <x:v>Eco Bottles</x:v>
      </x:c>
      <x:c r="F13" s="17" t="n">
        <x:v>30</x:v>
      </x:c>
      <x:c r="G13" s="22" t="n">
        <x:v>450</x:v>
      </x:c>
      <x:c r="H13" s="28" t="n">
        <x:f>F13*G13</x:f>
        <x:v>13500</x:v>
      </x:c>
      <x:c r="I13" s="17" t="str">
        <x:v>Karthik</x:v>
      </x:c>
      <x:c r="J13" s="17" t="str">
        <x:v>Confirmed</x:v>
      </x:c>
      <x:c r="K13" s="31" t="str">
        <x:f>IF(COUNTIFS('Payments'!$B$5:$B$16,A13,'Payments'!$G$5:$G$16,"Paid")&gt;0,"Paid",IF(COUNTIFS('Payments'!$B$5:$B$16,A13,'Payments'!$G$5:$G$16,"Part Paid")&gt;0,"Part Paid",IF(COUNTIFS('Payments'!$B$5:$B$16,A13,'Payments'!$G$5:$G$16,"Overdue")&gt;0,"Overdue","Unpaid")))</x:f>
        <x:v>Unpaid</x:v>
      </x:c>
      <x:c r="L13" s="31" t="str">
        <x:f>IF(COUNTIF('Shipments'!$B$5:$B$14,A13)=0,"Not Created",IF(COUNTIFS('Shipments'!$B$5:$B$14,A13,'Shipments'!$H$5:$H$14,"Delivered")&gt;0,"Delivered",IF(COUNTIFS('Shipments'!$B$5:$B$14,A13,'Shipments'!$H$5:$H$14,"Shipped")&gt;0,"Shipped",IF(COUNTIFS('Shipments'!$B$5:$B$14,A13,'Shipments'!$H$5:$H$14,"Ready")&gt;0,"Ready","Hold"))))</x:f>
        <x:v>Ready</x:v>
      </x:c>
    </x:row>
    <x:row r="14">
      <x:c r="A14" s="17" t="str">
        <x:v>TXN-1010</x:v>
      </x:c>
      <x:c r="B14" s="25" t="n">
        <x:v>46259</x:v>
      </x:c>
      <x:c r="C14" s="17" t="str">
        <x:v>C-004</x:v>
      </x:c>
      <x:c r="D14" s="17" t="str">
        <x:v>Metro Prints</x:v>
      </x:c>
      <x:c r="E14" s="17" t="str">
        <x:v>Cotton Tote Bags</x:v>
      </x:c>
      <x:c r="F14" s="17" t="n">
        <x:v>45</x:v>
      </x:c>
      <x:c r="G14" s="22" t="n">
        <x:v>250</x:v>
      </x:c>
      <x:c r="H14" s="28" t="n">
        <x:f>F14*G14</x:f>
        <x:v>11250</x:v>
      </x:c>
      <x:c r="I14" s="17" t="str">
        <x:v>Anika</x:v>
      </x:c>
      <x:c r="J14" s="17" t="str">
        <x:v>Confirmed</x:v>
      </x:c>
      <x:c r="K14" s="31" t="str">
        <x:f>IF(COUNTIFS('Payments'!$B$5:$B$16,A14,'Payments'!$G$5:$G$16,"Paid")&gt;0,"Paid",IF(COUNTIFS('Payments'!$B$5:$B$16,A14,'Payments'!$G$5:$G$16,"Part Paid")&gt;0,"Part Paid",IF(COUNTIFS('Payments'!$B$5:$B$16,A14,'Payments'!$G$5:$G$16,"Overdue")&gt;0,"Overdue","Unpaid")))</x:f>
        <x:v>Part Paid</x:v>
      </x:c>
      <x:c r="L14" s="31" t="str">
        <x:f>IF(COUNTIF('Shipments'!$B$5:$B$14,A14)=0,"Not Created",IF(COUNTIFS('Shipments'!$B$5:$B$14,A14,'Shipments'!$H$5:$H$14,"Delivered")&gt;0,"Delivered",IF(COUNTIFS('Shipments'!$B$5:$B$14,A14,'Shipments'!$H$5:$H$14,"Shipped")&gt;0,"Shipped",IF(COUNTIFS('Shipments'!$B$5:$B$14,A14,'Shipments'!$H$5:$H$14,"Ready")&gt;0,"Ready","Hold"))))</x:f>
        <x:v>Hold</x:v>
      </x:c>
    </x:row>
    <x:row r="15">
      <x:c r="A15" s="17" t="str">
        <x:v>TXN-1011</x:v>
      </x:c>
      <x:c r="B15" s="25" t="n">
        <x:v>46261</x:v>
      </x:c>
      <x:c r="C15" s="17" t="str">
        <x:v>C-006</x:v>
      </x:c>
      <x:c r="D15" s="17" t="str">
        <x:v>Orbit Office</x:v>
      </x:c>
      <x:c r="E15" s="17" t="str">
        <x:v>A5 Notebooks</x:v>
      </x:c>
      <x:c r="F15" s="17" t="n">
        <x:v>120</x:v>
      </x:c>
      <x:c r="G15" s="22" t="n">
        <x:v>180</x:v>
      </x:c>
      <x:c r="H15" s="28" t="n">
        <x:f>F15*G15</x:f>
        <x:v>21600</x:v>
      </x:c>
      <x:c r="I15" s="17" t="str">
        <x:v>Meera</x:v>
      </x:c>
      <x:c r="J15" s="17" t="str">
        <x:v>Processing</x:v>
      </x:c>
      <x:c r="K15" s="31" t="str">
        <x:f>IF(COUNTIFS('Payments'!$B$5:$B$16,A15,'Payments'!$G$5:$G$16,"Paid")&gt;0,"Paid",IF(COUNTIFS('Payments'!$B$5:$B$16,A15,'Payments'!$G$5:$G$16,"Part Paid")&gt;0,"Part Paid",IF(COUNTIFS('Payments'!$B$5:$B$16,A15,'Payments'!$G$5:$G$16,"Overdue")&gt;0,"Overdue","Unpaid")))</x:f>
        <x:v>Paid</x:v>
      </x:c>
      <x:c r="L15" s="31" t="str">
        <x:f>IF(COUNTIF('Shipments'!$B$5:$B$14,A15)=0,"Not Created",IF(COUNTIFS('Shipments'!$B$5:$B$14,A15,'Shipments'!$H$5:$H$14,"Delivered")&gt;0,"Delivered",IF(COUNTIFS('Shipments'!$B$5:$B$14,A15,'Shipments'!$H$5:$H$14,"Shipped")&gt;0,"Shipped",IF(COUNTIFS('Shipments'!$B$5:$B$14,A15,'Shipments'!$H$5:$H$14,"Ready")&gt;0,"Ready","Hold"))))</x:f>
        <x:v>Not Created</x:v>
      </x:c>
    </x:row>
    <x:row r="16">
      <x:c r="A16" s="18" t="str">
        <x:v>TXN-1012</x:v>
      </x:c>
      <x:c r="B16" s="26" t="n">
        <x:v>46263</x:v>
      </x:c>
      <x:c r="C16" s="18" t="str">
        <x:v>C-002</x:v>
      </x:c>
      <x:c r="D16" s="18" t="str">
        <x:v>Bloom Cafe</x:v>
      </x:c>
      <x:c r="E16" s="18" t="str">
        <x:v>Paper Bags</x:v>
      </x:c>
      <x:c r="F16" s="18" t="n">
        <x:v>150</x:v>
      </x:c>
      <x:c r="G16" s="23" t="n">
        <x:v>12</x:v>
      </x:c>
      <x:c r="H16" s="29" t="n">
        <x:f>F16*G16</x:f>
        <x:v>1800</x:v>
      </x:c>
      <x:c r="I16" s="18" t="str">
        <x:v>Anika</x:v>
      </x:c>
      <x:c r="J16" s="18" t="str">
        <x:v>Confirmed</x:v>
      </x:c>
      <x:c r="K16" s="32" t="str">
        <x:f>IF(COUNTIFS('Payments'!$B$5:$B$16,A16,'Payments'!$G$5:$G$16,"Paid")&gt;0,"Paid",IF(COUNTIFS('Payments'!$B$5:$B$16,A16,'Payments'!$G$5:$G$16,"Part Paid")&gt;0,"Part Paid",IF(COUNTIFS('Payments'!$B$5:$B$16,A16,'Payments'!$G$5:$G$16,"Overdue")&gt;0,"Overdue","Unpaid")))</x:f>
        <x:v>Unpaid</x:v>
      </x:c>
      <x:c r="L16" s="32" t="str">
        <x:f>IF(COUNTIF('Shipments'!$B$5:$B$14,A16)=0,"Not Created",IF(COUNTIFS('Shipments'!$B$5:$B$14,A16,'Shipments'!$H$5:$H$14,"Delivered")&gt;0,"Delivered",IF(COUNTIFS('Shipments'!$B$5:$B$14,A16,'Shipments'!$H$5:$H$14,"Shipped")&gt;0,"Shipped",IF(COUNTIFS('Shipments'!$B$5:$B$14,A16,'Shipments'!$H$5:$H$14,"Ready")&gt;0,"Ready","Hold"))))</x:f>
        <x:v>Not Created</x:v>
      </x:c>
    </x:row>
  </x:sheetData>
  <x:mergeCells>
    <x:mergeCell ref="A1:L1"/>
    <x:mergeCell ref="A2:L2"/>
  </x:mergeCells>
  <x:conditionalFormatting sqref="K5:K16">
    <x:cfRule type="expression" dxfId="1" priority="1">
      <x:formula>$K5="Overdue"</x:formula>
    </x:cfRule>
    <x:cfRule type="expression" dxfId="2" priority="2">
      <x:formula>$K5="Paid"</x:formula>
    </x:cfRule>
  </x:conditionalFormatting>
  <x:conditionalFormatting sqref="L5:L16">
    <x:cfRule type="expression" dxfId="3" priority="3">
      <x:formula>$L5="Hold"</x:formula>
    </x:cfRule>
  </x:conditionalFormatting>
  <x:dataValidations count="2">
    <x:dataValidation type="list" sqref="I5:I16">
      <x:formula1>"Anika,Karthik,Meera"</x:formula1>
    </x:dataValidation>
    <x:dataValidation type="list" sqref="J5:J16">
      <x:formula1>"Confirmed,Processing,Completed,Cancelled"</x:formula1>
    </x:dataValidation>
  </x:dataValidations>
  <x:pageMargins left="0.7" right="0.7" top="0.75" bottom="0.75" header="0.3" footer="0.3"/>
  <x:legacyDrawing xmlns:r="http://schemas.openxmlformats.org/officeDocument/2006/relationships" r:id="R87360976229b4da2"/>
  <x:tableParts count="1">
    <x:tablePart xmlns:r="http://schemas.openxmlformats.org/officeDocument/2006/relationships" r:id="Rc2f7b70130394e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3" hidden="0" customWidth="1"/>
    <x:col min="4" max="4" width="9" hidden="0" customWidth="1"/>
    <x:col min="5" max="5" width="13" hidden="0" customWidth="1"/>
    <x:col min="6" max="6" width="15" hidden="0" customWidth="1"/>
    <x:col min="7" max="7" width="18" hidden="0" customWidth="1"/>
    <x:col min="8" max="8" width="13" hidden="0" customWidth="1"/>
    <x:col min="9" max="9" width="15" hidden="0" customWidth="1"/>
    <x:col min="10" max="10" width="13" hidden="0" customWidth="1"/>
  </x:cols>
  <x:sheetData>
    <x:row r="1" ht="34" customHeight="1">
      <x:c r="A1" s="3" t="str">
        <x:v>Items Shipped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7" t="str">
        <x:v>One row per shipment. Item and quantity are pulled from the matching transaction.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8" customHeight="1">
      <x:c r="A4" s="11" t="str">
        <x:v>Shipment ID</x:v>
      </x:c>
      <x:c r="B4" s="11" t="str">
        <x:v>Transaction ID</x:v>
      </x:c>
      <x:c r="C4" s="11" t="str">
        <x:v>Item Shipped</x:v>
      </x:c>
      <x:c r="D4" s="11" t="str">
        <x:v>Qty</x:v>
      </x:c>
      <x:c r="E4" s="11" t="str">
        <x:v>Ship Date</x:v>
      </x:c>
      <x:c r="F4" s="11" t="str">
        <x:v>Courier</x:v>
      </x:c>
      <x:c r="G4" s="11" t="str">
        <x:v>Tracking No.</x:v>
      </x:c>
      <x:c r="H4" s="11" t="str">
        <x:v>Status</x:v>
      </x:c>
      <x:c r="I4" s="11" t="str">
        <x:v>Delivered Date</x:v>
      </x:c>
      <x:c r="J4" s="11" t="str">
        <x:v>Owner</x:v>
      </x:c>
    </x:row>
    <x:row r="5">
      <x:c r="A5" s="16" t="str">
        <x:v>SHP-501</x:v>
      </x:c>
      <x:c r="B5" s="16" t="str">
        <x:v>TXN-1001</x:v>
      </x:c>
      <x:c r="C5" s="30" t="str">
        <x:f>IFERROR(INDEX('Transactions'!$E$5:$E$16,MATCH(B5,'Transactions'!$A$5:$A$16,0)),"")</x:f>
        <x:v>Eco Bottles</x:v>
      </x:c>
      <x:c r="D5" s="30" t="n">
        <x:f>IFERROR(INDEX('Transactions'!$F$5:$F$16,MATCH(B5,'Transactions'!$A$5:$A$16,0)),"")</x:f>
        <x:v>40</x:v>
      </x:c>
      <x:c r="E5" s="24" t="n">
        <x:v>46246</x:v>
      </x:c>
      <x:c r="F5" s="16" t="str">
        <x:v>BlueDart</x:v>
      </x:c>
      <x:c r="G5" s="16" t="str">
        <x:v>BD100501</x:v>
      </x:c>
      <x:c r="H5" s="16" t="str">
        <x:v>Delivered</x:v>
      </x:c>
      <x:c r="I5" s="24" t="n">
        <x:v>46248</x:v>
      </x:c>
      <x:c r="J5" s="16" t="str">
        <x:v>Karthik</x:v>
      </x:c>
    </x:row>
    <x:row r="6">
      <x:c r="A6" s="17" t="str">
        <x:v>SHP-502</x:v>
      </x:c>
      <x:c r="B6" s="17" t="str">
        <x:v>TXN-1002</x:v>
      </x:c>
      <x:c r="C6" s="31" t="str">
        <x:f>IFERROR(INDEX('Transactions'!$E$5:$E$16,MATCH(B6,'Transactions'!$A$5:$A$16,0)),"")</x:f>
        <x:v>Cotton Tote Bags</x:v>
      </x:c>
      <x:c r="D6" s="31" t="n">
        <x:f>IFERROR(INDEX('Transactions'!$F$5:$F$16,MATCH(B6,'Transactions'!$A$5:$A$16,0)),"")</x:f>
        <x:v>30</x:v>
      </x:c>
      <x:c r="E6" s="25" t="n">
        <x:v>46248</x:v>
      </x:c>
      <x:c r="F6" s="17" t="str">
        <x:v>Delhivery</x:v>
      </x:c>
      <x:c r="G6" s="17" t="str">
        <x:v>DL100502</x:v>
      </x:c>
      <x:c r="H6" s="17" t="str">
        <x:v>Delivered</x:v>
      </x:c>
      <x:c r="I6" s="25" t="n">
        <x:v>46250</x:v>
      </x:c>
      <x:c r="J6" s="17" t="str">
        <x:v>Karthik</x:v>
      </x:c>
    </x:row>
    <x:row r="7">
      <x:c r="A7" s="17" t="str">
        <x:v>SHP-503</x:v>
      </x:c>
      <x:c r="B7" s="17" t="str">
        <x:v>TXN-1003</x:v>
      </x:c>
      <x:c r="C7" s="31" t="str">
        <x:f>IFERROR(INDEX('Transactions'!$E$5:$E$16,MATCH(B7,'Transactions'!$A$5:$A$16,0)),"")</x:f>
        <x:v>A5 Notebooks</x:v>
      </x:c>
      <x:c r="D7" s="31" t="n">
        <x:f>IFERROR(INDEX('Transactions'!$F$5:$F$16,MATCH(B7,'Transactions'!$A$5:$A$16,0)),"")</x:f>
        <x:v>100</x:v>
      </x:c>
      <x:c r="E7" s="25" t="n">
        <x:v>46251</x:v>
      </x:c>
      <x:c r="F7" s="17" t="str">
        <x:v>BlueDart</x:v>
      </x:c>
      <x:c r="G7" s="17" t="str">
        <x:v>BD100503</x:v>
      </x:c>
      <x:c r="H7" s="17" t="str">
        <x:v>Shipped</x:v>
      </x:c>
      <x:c r="I7" s="25"/>
      <x:c r="J7" s="17" t="str">
        <x:v>Karthik</x:v>
      </x:c>
    </x:row>
    <x:row r="8">
      <x:c r="A8" s="17" t="str">
        <x:v>SHP-504</x:v>
      </x:c>
      <x:c r="B8" s="17" t="str">
        <x:v>TXN-1004</x:v>
      </x:c>
      <x:c r="C8" s="31" t="str">
        <x:f>IFERROR(INDEX('Transactions'!$E$5:$E$16,MATCH(B8,'Transactions'!$A$5:$A$16,0)),"")</x:f>
        <x:v>Gift Boxes</x:v>
      </x:c>
      <x:c r="D8" s="31" t="n">
        <x:f>IFERROR(INDEX('Transactions'!$F$5:$F$16,MATCH(B8,'Transactions'!$A$5:$A$16,0)),"")</x:f>
        <x:v>50</x:v>
      </x:c>
      <x:c r="E8" s="25"/>
      <x:c r="F8" s="17" t="str"/>
      <x:c r="G8" s="17" t="str"/>
      <x:c r="H8" s="17" t="str">
        <x:v>Hold</x:v>
      </x:c>
      <x:c r="I8" s="25"/>
      <x:c r="J8" s="17" t="str">
        <x:v>Karthik</x:v>
      </x:c>
    </x:row>
    <x:row r="9">
      <x:c r="A9" s="17" t="str">
        <x:v>SHP-505</x:v>
      </x:c>
      <x:c r="B9" s="17" t="str">
        <x:v>TXN-1005</x:v>
      </x:c>
      <x:c r="C9" s="31" t="str">
        <x:f>IFERROR(INDEX('Transactions'!$E$5:$E$16,MATCH(B9,'Transactions'!$A$5:$A$16,0)),"")</x:f>
        <x:v>Paper Bags</x:v>
      </x:c>
      <x:c r="D9" s="31" t="n">
        <x:f>IFERROR(INDEX('Transactions'!$F$5:$F$16,MATCH(B9,'Transactions'!$A$5:$A$16,0)),"")</x:f>
        <x:v>200</x:v>
      </x:c>
      <x:c r="E9" s="25" t="n">
        <x:v>46254</x:v>
      </x:c>
      <x:c r="F9" s="17" t="str">
        <x:v>Local Van</x:v>
      </x:c>
      <x:c r="G9" s="17" t="str">
        <x:v>LV100505</x:v>
      </x:c>
      <x:c r="H9" s="17" t="str">
        <x:v>Delivered</x:v>
      </x:c>
      <x:c r="I9" s="25" t="n">
        <x:v>46254</x:v>
      </x:c>
      <x:c r="J9" s="17" t="str">
        <x:v>Karthik</x:v>
      </x:c>
    </x:row>
    <x:row r="10">
      <x:c r="A10" s="17" t="str">
        <x:v>SHP-506</x:v>
      </x:c>
      <x:c r="B10" s="17" t="str">
        <x:v>TXN-1006</x:v>
      </x:c>
      <x:c r="C10" s="31" t="str">
        <x:f>IFERROR(INDEX('Transactions'!$E$5:$E$16,MATCH(B10,'Transactions'!$A$5:$A$16,0)),"")</x:f>
        <x:v>Desk Organizers</x:v>
      </x:c>
      <x:c r="D10" s="31" t="n">
        <x:f>IFERROR(INDEX('Transactions'!$F$5:$F$16,MATCH(B10,'Transactions'!$A$5:$A$16,0)),"")</x:f>
        <x:v>25</x:v>
      </x:c>
      <x:c r="E10" s="25" t="n">
        <x:v>46257</x:v>
      </x:c>
      <x:c r="F10" s="17" t="str">
        <x:v>Delhivery</x:v>
      </x:c>
      <x:c r="G10" s="17" t="str">
        <x:v>DL100506</x:v>
      </x:c>
      <x:c r="H10" s="17" t="str">
        <x:v>Shipped</x:v>
      </x:c>
      <x:c r="I10" s="25"/>
      <x:c r="J10" s="17" t="str">
        <x:v>Karthik</x:v>
      </x:c>
    </x:row>
    <x:row r="11">
      <x:c r="A11" s="17" t="str">
        <x:v>SHP-507</x:v>
      </x:c>
      <x:c r="B11" s="17" t="str">
        <x:v>TXN-1007</x:v>
      </x:c>
      <x:c r="C11" s="31" t="str">
        <x:f>IFERROR(INDEX('Transactions'!$E$5:$E$16,MATCH(B11,'Transactions'!$A$5:$A$16,0)),"")</x:f>
        <x:v>Gift Boxes</x:v>
      </x:c>
      <x:c r="D11" s="31" t="n">
        <x:f>IFERROR(INDEX('Transactions'!$F$5:$F$16,MATCH(B11,'Transactions'!$A$5:$A$16,0)),"")</x:f>
        <x:v>80</x:v>
      </x:c>
      <x:c r="E11" s="25"/>
      <x:c r="F11" s="17" t="str"/>
      <x:c r="G11" s="17" t="str"/>
      <x:c r="H11" s="17" t="str">
        <x:v>Ready</x:v>
      </x:c>
      <x:c r="I11" s="25"/>
      <x:c r="J11" s="17" t="str">
        <x:v>Karthik</x:v>
      </x:c>
    </x:row>
    <x:row r="12">
      <x:c r="A12" s="17" t="str">
        <x:v>SHP-508</x:v>
      </x:c>
      <x:c r="B12" s="17" t="str">
        <x:v>TXN-1008</x:v>
      </x:c>
      <x:c r="C12" s="31" t="str">
        <x:f>IFERROR(INDEX('Transactions'!$E$5:$E$16,MATCH(B12,'Transactions'!$A$5:$A$16,0)),"")</x:f>
        <x:v>A5 Notebooks</x:v>
      </x:c>
      <x:c r="D12" s="31" t="n">
        <x:f>IFERROR(INDEX('Transactions'!$F$5:$F$16,MATCH(B12,'Transactions'!$A$5:$A$16,0)),"")</x:f>
        <x:v>60</x:v>
      </x:c>
      <x:c r="E12" s="25" t="n">
        <x:v>46260</x:v>
      </x:c>
      <x:c r="F12" s="17" t="str">
        <x:v>BlueDart</x:v>
      </x:c>
      <x:c r="G12" s="17" t="str">
        <x:v>BD100508</x:v>
      </x:c>
      <x:c r="H12" s="17" t="str">
        <x:v>Shipped</x:v>
      </x:c>
      <x:c r="I12" s="25"/>
      <x:c r="J12" s="17" t="str">
        <x:v>Karthik</x:v>
      </x:c>
    </x:row>
    <x:row r="13">
      <x:c r="A13" s="17" t="str">
        <x:v>SHP-509</x:v>
      </x:c>
      <x:c r="B13" s="17" t="str">
        <x:v>TXN-1009</x:v>
      </x:c>
      <x:c r="C13" s="31" t="str">
        <x:f>IFERROR(INDEX('Transactions'!$E$5:$E$16,MATCH(B13,'Transactions'!$A$5:$A$16,0)),"")</x:f>
        <x:v>Eco Bottles</x:v>
      </x:c>
      <x:c r="D13" s="31" t="n">
        <x:f>IFERROR(INDEX('Transactions'!$F$5:$F$16,MATCH(B13,'Transactions'!$A$5:$A$16,0)),"")</x:f>
        <x:v>30</x:v>
      </x:c>
      <x:c r="E13" s="25"/>
      <x:c r="F13" s="17" t="str"/>
      <x:c r="G13" s="17" t="str"/>
      <x:c r="H13" s="17" t="str">
        <x:v>Ready</x:v>
      </x:c>
      <x:c r="I13" s="25"/>
      <x:c r="J13" s="17" t="str">
        <x:v>Karthik</x:v>
      </x:c>
    </x:row>
    <x:row r="14">
      <x:c r="A14" s="18" t="str">
        <x:v>SHP-510</x:v>
      </x:c>
      <x:c r="B14" s="18" t="str">
        <x:v>TXN-1010</x:v>
      </x:c>
      <x:c r="C14" s="32" t="str">
        <x:f>IFERROR(INDEX('Transactions'!$E$5:$E$16,MATCH(B14,'Transactions'!$A$5:$A$16,0)),"")</x:f>
        <x:v>Cotton Tote Bags</x:v>
      </x:c>
      <x:c r="D14" s="32" t="n">
        <x:f>IFERROR(INDEX('Transactions'!$F$5:$F$16,MATCH(B14,'Transactions'!$A$5:$A$16,0)),"")</x:f>
        <x:v>45</x:v>
      </x:c>
      <x:c r="E14" s="26"/>
      <x:c r="F14" s="18" t="str"/>
      <x:c r="G14" s="18" t="str"/>
      <x:c r="H14" s="18" t="str">
        <x:v>Hold</x:v>
      </x:c>
      <x:c r="I14" s="26"/>
      <x:c r="J14" s="18" t="str">
        <x:v>Karthik</x:v>
      </x:c>
    </x:row>
  </x:sheetData>
  <x:mergeCells>
    <x:mergeCell ref="A1:J1"/>
    <x:mergeCell ref="A2:J2"/>
  </x:mergeCells>
  <x:conditionalFormatting sqref="H5:H14">
    <x:cfRule type="expression" dxfId="4" priority="1">
      <x:formula>$H5="Delivered"</x:formula>
    </x:cfRule>
    <x:cfRule type="expression" dxfId="5" priority="2">
      <x:formula>$H5="Hold"</x:formula>
    </x:cfRule>
    <x:cfRule type="expression" dxfId="6" priority="3">
      <x:formula>$H5="Ready"</x:formula>
    </x:cfRule>
  </x:conditionalFormatting>
  <x:dataValidations count="2">
    <x:dataValidation type="list" sqref="H5:H14">
      <x:formula1>"Ready,Shipped,Delivered,Hold"</x:formula1>
    </x:dataValidation>
    <x:dataValidation type="list" sqref="J5:J14">
      <x:formula1>"Anika,Karthik,Meera"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96089cbf5640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3" hidden="0" customWidth="1"/>
    <x:col min="4" max="4" width="15" hidden="0" customWidth="1"/>
    <x:col min="5" max="5" width="14" hidden="0" customWidth="1"/>
    <x:col min="6" max="6" width="14" hidden="0" customWidth="1"/>
    <x:col min="7" max="7" width="13" hidden="0" customWidth="1"/>
    <x:col min="8" max="8" width="15" hidden="0" customWidth="1"/>
    <x:col min="9" max="9" width="18" hidden="0" customWidth="1"/>
    <x:col min="10" max="10" width="13" hidden="0" customWidth="1"/>
  </x:cols>
  <x:sheetData>
    <x:row r="1" ht="34" customHeight="1">
      <x:c r="A1" s="3" t="str">
        <x:v>Payments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7" t="str">
        <x:v>Invoice amount and due date come from the transaction. Balance and status are calculated automatically.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8" customHeight="1">
      <x:c r="A4" s="11" t="str">
        <x:v>Payment ID</x:v>
      </x:c>
      <x:c r="B4" s="11" t="str">
        <x:v>Transaction ID</x:v>
      </x:c>
      <x:c r="C4" s="11" t="str">
        <x:v>Due Date</x:v>
      </x:c>
      <x:c r="D4" s="11" t="str">
        <x:v>Invoice Amount</x:v>
      </x:c>
      <x:c r="E4" s="11" t="str">
        <x:v>Amount Paid</x:v>
      </x:c>
      <x:c r="F4" s="11" t="str">
        <x:v>Balance</x:v>
      </x:c>
      <x:c r="G4" s="11" t="str">
        <x:v>Status</x:v>
      </x:c>
      <x:c r="H4" s="11" t="str">
        <x:v>Payment Date</x:v>
      </x:c>
      <x:c r="I4" s="11" t="str">
        <x:v>Method</x:v>
      </x:c>
      <x:c r="J4" s="11" t="str">
        <x:v>Owner</x:v>
      </x:c>
    </x:row>
    <x:row r="5">
      <x:c r="A5" s="16" t="str">
        <x:v>PAY-701</x:v>
      </x:c>
      <x:c r="B5" s="16" t="str">
        <x:v>TXN-1001</x:v>
      </x:c>
      <x:c r="C5" s="33" t="n">
        <x:f>'Transactions'!B5+'Rules &amp; Lists'!$H$5</x:f>
        <x:v>46251</x:v>
      </x:c>
      <x:c r="D5" s="27" t="n">
        <x:f>SUMIF('Transactions'!$A$5:$A$16,B5,'Transactions'!$H$5:$H$16)</x:f>
        <x:v>18000</x:v>
      </x:c>
      <x:c r="E5" s="21" t="n">
        <x:v>18000</x:v>
      </x:c>
      <x:c r="F5" s="27" t="n">
        <x:f>MAX(0,D5-E5)</x:f>
        <x:v>0</x:v>
      </x:c>
      <x:c r="G5" s="30" t="str">
        <x:f>IF(F5=0,"Paid",IF(E5&gt;0,"Part Paid",IF(C5&lt;TODAY(),"Overdue","Unpaid")))</x:f>
        <x:v>Paid</x:v>
      </x:c>
      <x:c r="H5" s="24" t="n">
        <x:v>46249</x:v>
      </x:c>
      <x:c r="I5" s="16" t="str">
        <x:v>Bank Transfer</x:v>
      </x:c>
      <x:c r="J5" s="16" t="str">
        <x:v>Meera</x:v>
      </x:c>
    </x:row>
    <x:row r="6">
      <x:c r="A6" s="17" t="str">
        <x:v>PAY-702</x:v>
      </x:c>
      <x:c r="B6" s="17" t="str">
        <x:v>TXN-1002</x:v>
      </x:c>
      <x:c r="C6" s="34" t="n">
        <x:f>'Transactions'!B6+'Rules &amp; Lists'!$H$5</x:f>
        <x:v>46253</x:v>
      </x:c>
      <x:c r="D6" s="28" t="n">
        <x:f>SUMIF('Transactions'!$A$5:$A$16,B6,'Transactions'!$H$5:$H$16)</x:f>
        <x:v>7500</x:v>
      </x:c>
      <x:c r="E6" s="22" t="n">
        <x:v>7500</x:v>
      </x:c>
      <x:c r="F6" s="28" t="n">
        <x:f>MAX(0,D6-E6)</x:f>
        <x:v>0</x:v>
      </x:c>
      <x:c r="G6" s="31" t="str">
        <x:f>IF(F6=0,"Paid",IF(E6&gt;0,"Part Paid",IF(C6&lt;TODAY(),"Overdue","Unpaid")))</x:f>
        <x:v>Paid</x:v>
      </x:c>
      <x:c r="H6" s="25" t="n">
        <x:v>46252</x:v>
      </x:c>
      <x:c r="I6" s="17" t="str">
        <x:v>UPI</x:v>
      </x:c>
      <x:c r="J6" s="17" t="str">
        <x:v>Meera</x:v>
      </x:c>
    </x:row>
    <x:row r="7">
      <x:c r="A7" s="17" t="str">
        <x:v>PAY-703</x:v>
      </x:c>
      <x:c r="B7" s="17" t="str">
        <x:v>TXN-1003</x:v>
      </x:c>
      <x:c r="C7" s="34" t="n">
        <x:f>'Transactions'!B7+'Rules &amp; Lists'!$H$5</x:f>
        <x:v>46255</x:v>
      </x:c>
      <x:c r="D7" s="28" t="n">
        <x:f>SUMIF('Transactions'!$A$5:$A$16,B7,'Transactions'!$H$5:$H$16)</x:f>
        <x:v>18000</x:v>
      </x:c>
      <x:c r="E7" s="22" t="n">
        <x:v>9000</x:v>
      </x:c>
      <x:c r="F7" s="28" t="n">
        <x:f>MAX(0,D7-E7)</x:f>
        <x:v>9000</x:v>
      </x:c>
      <x:c r="G7" s="31" t="str">
        <x:f>IF(F7=0,"Paid",IF(E7&gt;0,"Part Paid",IF(C7&lt;TODAY(),"Overdue","Unpaid")))</x:f>
        <x:v>Part Paid</x:v>
      </x:c>
      <x:c r="H7" s="25" t="n">
        <x:v>46256</x:v>
      </x:c>
      <x:c r="I7" s="17" t="str">
        <x:v>Bank Transfer</x:v>
      </x:c>
      <x:c r="J7" s="17" t="str">
        <x:v>Meera</x:v>
      </x:c>
    </x:row>
    <x:row r="8">
      <x:c r="A8" s="17" t="str">
        <x:v>PAY-704</x:v>
      </x:c>
      <x:c r="B8" s="17" t="str">
        <x:v>TXN-1004</x:v>
      </x:c>
      <x:c r="C8" s="34" t="n">
        <x:f>'Transactions'!B8+'Rules &amp; Lists'!$H$5</x:f>
        <x:v>46257</x:v>
      </x:c>
      <x:c r="D8" s="28" t="n">
        <x:f>SUMIF('Transactions'!$A$5:$A$16,B8,'Transactions'!$H$5:$H$16)</x:f>
        <x:v>16000</x:v>
      </x:c>
      <x:c r="E8" s="22" t="n">
        <x:v>0</x:v>
      </x:c>
      <x:c r="F8" s="28" t="n">
        <x:f>MAX(0,D8-E8)</x:f>
        <x:v>16000</x:v>
      </x:c>
      <x:c r="G8" s="31" t="str">
        <x:f>IF(F8=0,"Paid",IF(E8&gt;0,"Part Paid",IF(C8&lt;TODAY(),"Overdue","Unpaid")))</x:f>
        <x:v>Overdue</x:v>
      </x:c>
      <x:c r="H8" s="25"/>
      <x:c r="I8" s="17" t="str"/>
      <x:c r="J8" s="17" t="str">
        <x:v>Meera</x:v>
      </x:c>
    </x:row>
    <x:row r="9">
      <x:c r="A9" s="17" t="str">
        <x:v>PAY-705</x:v>
      </x:c>
      <x:c r="B9" s="17" t="str">
        <x:v>TXN-1005</x:v>
      </x:c>
      <x:c r="C9" s="34" t="n">
        <x:f>'Transactions'!B9+'Rules &amp; Lists'!$H$5</x:f>
        <x:v>46259</x:v>
      </x:c>
      <x:c r="D9" s="28" t="n">
        <x:f>SUMIF('Transactions'!$A$5:$A$16,B9,'Transactions'!$H$5:$H$16)</x:f>
        <x:v>2400</x:v>
      </x:c>
      <x:c r="E9" s="22" t="n">
        <x:v>2400</x:v>
      </x:c>
      <x:c r="F9" s="28" t="n">
        <x:f>MAX(0,D9-E9)</x:f>
        <x:v>0</x:v>
      </x:c>
      <x:c r="G9" s="31" t="str">
        <x:f>IF(F9=0,"Paid",IF(E9&gt;0,"Part Paid",IF(C9&lt;TODAY(),"Overdue","Unpaid")))</x:f>
        <x:v>Paid</x:v>
      </x:c>
      <x:c r="H9" s="25" t="n">
        <x:v>46255</x:v>
      </x:c>
      <x:c r="I9" s="17" t="str">
        <x:v>Cash</x:v>
      </x:c>
      <x:c r="J9" s="17" t="str">
        <x:v>Meera</x:v>
      </x:c>
    </x:row>
    <x:row r="10">
      <x:c r="A10" s="17" t="str">
        <x:v>PAY-706</x:v>
      </x:c>
      <x:c r="B10" s="17" t="str">
        <x:v>TXN-1006</x:v>
      </x:c>
      <x:c r="C10" s="34" t="n">
        <x:f>'Transactions'!B10+'Rules &amp; Lists'!$H$5</x:f>
        <x:v>46261</x:v>
      </x:c>
      <x:c r="D10" s="28" t="n">
        <x:f>SUMIF('Transactions'!$A$5:$A$16,B10,'Transactions'!$H$5:$H$16)</x:f>
        <x:v>13750</x:v>
      </x:c>
      <x:c r="E10" s="22" t="n">
        <x:v>6000</x:v>
      </x:c>
      <x:c r="F10" s="28" t="n">
        <x:f>MAX(0,D10-E10)</x:f>
        <x:v>7750</x:v>
      </x:c>
      <x:c r="G10" s="31" t="str">
        <x:f>IF(F10=0,"Paid",IF(E10&gt;0,"Part Paid",IF(C10&lt;TODAY(),"Overdue","Unpaid")))</x:f>
        <x:v>Part Paid</x:v>
      </x:c>
      <x:c r="H10" s="25" t="n">
        <x:v>46259</x:v>
      </x:c>
      <x:c r="I10" s="17" t="str">
        <x:v>Bank Transfer</x:v>
      </x:c>
      <x:c r="J10" s="17" t="str">
        <x:v>Meera</x:v>
      </x:c>
    </x:row>
    <x:row r="11">
      <x:c r="A11" s="17" t="str">
        <x:v>PAY-707</x:v>
      </x:c>
      <x:c r="B11" s="17" t="str">
        <x:v>TXN-1007</x:v>
      </x:c>
      <x:c r="C11" s="34" t="n">
        <x:f>'Transactions'!B11+'Rules &amp; Lists'!$H$5</x:f>
        <x:v>46263</x:v>
      </x:c>
      <x:c r="D11" s="28" t="n">
        <x:f>SUMIF('Transactions'!$A$5:$A$16,B11,'Transactions'!$H$5:$H$16)</x:f>
        <x:v>25600</x:v>
      </x:c>
      <x:c r="E11" s="22" t="n">
        <x:v>0</x:v>
      </x:c>
      <x:c r="F11" s="28" t="n">
        <x:f>MAX(0,D11-E11)</x:f>
        <x:v>25600</x:v>
      </x:c>
      <x:c r="G11" s="31" t="str">
        <x:f>IF(F11=0,"Paid",IF(E11&gt;0,"Part Paid",IF(C11&lt;TODAY(),"Overdue","Unpaid")))</x:f>
        <x:v>Overdue</x:v>
      </x:c>
      <x:c r="H11" s="25"/>
      <x:c r="I11" s="17" t="str"/>
      <x:c r="J11" s="17" t="str">
        <x:v>Meera</x:v>
      </x:c>
    </x:row>
    <x:row r="12">
      <x:c r="A12" s="17" t="str">
        <x:v>PAY-708</x:v>
      </x:c>
      <x:c r="B12" s="17" t="str">
        <x:v>TXN-1008</x:v>
      </x:c>
      <x:c r="C12" s="34" t="n">
        <x:f>'Transactions'!B12+'Rules &amp; Lists'!$H$5</x:f>
        <x:v>46264</x:v>
      </x:c>
      <x:c r="D12" s="28" t="n">
        <x:f>SUMIF('Transactions'!$A$5:$A$16,B12,'Transactions'!$H$5:$H$16)</x:f>
        <x:v>10800</x:v>
      </x:c>
      <x:c r="E12" s="22" t="n">
        <x:v>10800</x:v>
      </x:c>
      <x:c r="F12" s="28" t="n">
        <x:f>MAX(0,D12-E12)</x:f>
        <x:v>0</x:v>
      </x:c>
      <x:c r="G12" s="31" t="str">
        <x:f>IF(F12=0,"Paid",IF(E12&gt;0,"Part Paid",IF(C12&lt;TODAY(),"Overdue","Unpaid")))</x:f>
        <x:v>Paid</x:v>
      </x:c>
      <x:c r="H12" s="25" t="n">
        <x:v>46262</x:v>
      </x:c>
      <x:c r="I12" s="17" t="str">
        <x:v>UPI</x:v>
      </x:c>
      <x:c r="J12" s="17" t="str">
        <x:v>Meera</x:v>
      </x:c>
    </x:row>
    <x:row r="13">
      <x:c r="A13" s="17" t="str">
        <x:v>PAY-709</x:v>
      </x:c>
      <x:c r="B13" s="17" t="str">
        <x:v>TXN-1009</x:v>
      </x:c>
      <x:c r="C13" s="34" t="n">
        <x:f>'Transactions'!B13+'Rules &amp; Lists'!$H$5</x:f>
        <x:v>46265</x:v>
      </x:c>
      <x:c r="D13" s="28" t="n">
        <x:f>SUMIF('Transactions'!$A$5:$A$16,B13,'Transactions'!$H$5:$H$16)</x:f>
        <x:v>13500</x:v>
      </x:c>
      <x:c r="E13" s="22" t="n">
        <x:v>0</x:v>
      </x:c>
      <x:c r="F13" s="28" t="n">
        <x:f>MAX(0,D13-E13)</x:f>
        <x:v>13500</x:v>
      </x:c>
      <x:c r="G13" s="31" t="str">
        <x:f>IF(F13=0,"Paid",IF(E13&gt;0,"Part Paid",IF(C13&lt;TODAY(),"Overdue","Unpaid")))</x:f>
        <x:v>Unpaid</x:v>
      </x:c>
      <x:c r="H13" s="25"/>
      <x:c r="I13" s="17" t="str"/>
      <x:c r="J13" s="17" t="str">
        <x:v>Meera</x:v>
      </x:c>
    </x:row>
    <x:row r="14">
      <x:c r="A14" s="17" t="str">
        <x:v>PAY-710</x:v>
      </x:c>
      <x:c r="B14" s="17" t="str">
        <x:v>TXN-1010</x:v>
      </x:c>
      <x:c r="C14" s="34" t="n">
        <x:f>'Transactions'!B14+'Rules &amp; Lists'!$H$5</x:f>
        <x:v>46266</x:v>
      </x:c>
      <x:c r="D14" s="28" t="n">
        <x:f>SUMIF('Transactions'!$A$5:$A$16,B14,'Transactions'!$H$5:$H$16)</x:f>
        <x:v>11250</x:v>
      </x:c>
      <x:c r="E14" s="22" t="n">
        <x:v>5000</x:v>
      </x:c>
      <x:c r="F14" s="28" t="n">
        <x:f>MAX(0,D14-E14)</x:f>
        <x:v>6250</x:v>
      </x:c>
      <x:c r="G14" s="31" t="str">
        <x:f>IF(F14=0,"Paid",IF(E14&gt;0,"Part Paid",IF(C14&lt;TODAY(),"Overdue","Unpaid")))</x:f>
        <x:v>Part Paid</x:v>
      </x:c>
      <x:c r="H14" s="25" t="n">
        <x:v>46263</x:v>
      </x:c>
      <x:c r="I14" s="17" t="str">
        <x:v>Bank Transfer</x:v>
      </x:c>
      <x:c r="J14" s="17" t="str">
        <x:v>Meera</x:v>
      </x:c>
    </x:row>
    <x:row r="15">
      <x:c r="A15" s="17" t="str">
        <x:v>PAY-711</x:v>
      </x:c>
      <x:c r="B15" s="17" t="str">
        <x:v>TXN-1011</x:v>
      </x:c>
      <x:c r="C15" s="34" t="n">
        <x:f>'Transactions'!B15+'Rules &amp; Lists'!$H$5</x:f>
        <x:v>46268</x:v>
      </x:c>
      <x:c r="D15" s="28" t="n">
        <x:f>SUMIF('Transactions'!$A$5:$A$16,B15,'Transactions'!$H$5:$H$16)</x:f>
        <x:v>21600</x:v>
      </x:c>
      <x:c r="E15" s="22" t="n">
        <x:v>21600</x:v>
      </x:c>
      <x:c r="F15" s="28" t="n">
        <x:f>MAX(0,D15-E15)</x:f>
        <x:v>0</x:v>
      </x:c>
      <x:c r="G15" s="31" t="str">
        <x:f>IF(F15=0,"Paid",IF(E15&gt;0,"Part Paid",IF(C15&lt;TODAY(),"Overdue","Unpaid")))</x:f>
        <x:v>Paid</x:v>
      </x:c>
      <x:c r="H15" s="25" t="n">
        <x:v>46263</x:v>
      </x:c>
      <x:c r="I15" s="17" t="str">
        <x:v>UPI</x:v>
      </x:c>
      <x:c r="J15" s="17" t="str">
        <x:v>Meera</x:v>
      </x:c>
    </x:row>
    <x:row r="16">
      <x:c r="A16" s="18" t="str">
        <x:v>PAY-712</x:v>
      </x:c>
      <x:c r="B16" s="18" t="str">
        <x:v>TXN-1012</x:v>
      </x:c>
      <x:c r="C16" s="35" t="n">
        <x:f>'Transactions'!B16+'Rules &amp; Lists'!$H$5</x:f>
        <x:v>46270</x:v>
      </x:c>
      <x:c r="D16" s="29" t="n">
        <x:f>SUMIF('Transactions'!$A$5:$A$16,B16,'Transactions'!$H$5:$H$16)</x:f>
        <x:v>1800</x:v>
      </x:c>
      <x:c r="E16" s="23" t="n">
        <x:v>0</x:v>
      </x:c>
      <x:c r="F16" s="29" t="n">
        <x:f>MAX(0,D16-E16)</x:f>
        <x:v>1800</x:v>
      </x:c>
      <x:c r="G16" s="32" t="str">
        <x:f>IF(F16=0,"Paid",IF(E16&gt;0,"Part Paid",IF(C16&lt;TODAY(),"Overdue","Unpaid")))</x:f>
        <x:v>Unpaid</x:v>
      </x:c>
      <x:c r="H16" s="26"/>
      <x:c r="I16" s="18" t="str"/>
      <x:c r="J16" s="18" t="str">
        <x:v>Meera</x:v>
      </x:c>
    </x:row>
  </x:sheetData>
  <x:mergeCells>
    <x:mergeCell ref="A1:J1"/>
    <x:mergeCell ref="A2:J2"/>
  </x:mergeCells>
  <x:conditionalFormatting sqref="G5:G16">
    <x:cfRule type="expression" dxfId="7" priority="1">
      <x:formula>$G5="Paid"</x:formula>
    </x:cfRule>
    <x:cfRule type="expression" dxfId="8" priority="2">
      <x:formula>$G5="Overdue"</x:formula>
    </x:cfRule>
    <x:cfRule type="expression" dxfId="9" priority="3">
      <x:formula>$G5="Part Paid"</x:formula>
    </x:cfRule>
  </x:conditionalFormatting>
  <x:dataValidations count="2">
    <x:dataValidation type="list" sqref="I5:I16">
      <x:formula1>"Bank Transfer,UPI,Cash,Card"</x:formula1>
    </x:dataValidation>
    <x:dataValidation type="list" sqref="J5:J16">
      <x:formula1>"Anika,Karthik,Meera"</x:formula1>
    </x:dataValidation>
  </x:dataValidations>
  <x:pageMargins left="0.7" right="0.7" top="0.75" bottom="0.75" header="0.3" footer="0.3"/>
  <x:legacyDrawing xmlns:r="http://schemas.openxmlformats.org/officeDocument/2006/relationships" r:id="R523cf06a5bb74f35"/>
  <x:tableParts count="1">
    <x:tablePart xmlns:r="http://schemas.openxmlformats.org/officeDocument/2006/relationships" r:id="R935165ba78e641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38" hidden="0" customWidth="1"/>
    <x:col min="4" max="4" width="36" hidden="0" customWidth="1"/>
    <x:col min="5" max="5" width="15" hidden="0" customWidth="1"/>
    <x:col min="6" max="6" width="16" hidden="0" customWidth="1"/>
    <x:col min="7" max="7" width="12" hidden="0" customWidth="1"/>
    <x:col min="8" max="8" width="12" hidden="0" customWidth="1"/>
  </x:cols>
  <x:sheetData>
    <x:row r="1" ht="34" customHeight="1">
      <x:c r="A1" s="3" t="str">
        <x:v>Team of Three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Who is on the team and what each person is currently doing.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1" t="str">
        <x:v>Team ID</x:v>
      </x:c>
      <x:c r="B4" s="11" t="str">
        <x:v>Name</x:v>
      </x:c>
      <x:c r="C4" s="11" t="str">
        <x:v>Role</x:v>
      </x:c>
      <x:c r="D4" s="11" t="str">
        <x:v>Main Responsibility</x:v>
      </x:c>
      <x:c r="E4" s="11" t="str">
        <x:v>Status</x:v>
      </x:c>
    </x:row>
    <x:row r="5">
      <x:c r="A5" s="16" t="str">
        <x:v>TM-01</x:v>
      </x:c>
      <x:c r="B5" s="16" t="str">
        <x:v>Anika</x:v>
      </x:c>
      <x:c r="C5" s="16" t="str">
        <x:v>Owner / Sales</x:v>
      </x:c>
      <x:c r="D5" s="16" t="str">
        <x:v>Customers, new orders and approvals</x:v>
      </x:c>
      <x:c r="E5" s="16" t="str">
        <x:v>Active</x:v>
      </x:c>
    </x:row>
    <x:row r="6">
      <x:c r="A6" s="17" t="str">
        <x:v>TM-02</x:v>
      </x:c>
      <x:c r="B6" s="17" t="str">
        <x:v>Karthik</x:v>
      </x:c>
      <x:c r="C6" s="17" t="str">
        <x:v>Operations</x:v>
      </x:c>
      <x:c r="D6" s="17" t="str">
        <x:v>Packing, shipment and delivery follow-up</x:v>
      </x:c>
      <x:c r="E6" s="17" t="str">
        <x:v>Active</x:v>
      </x:c>
    </x:row>
    <x:row r="7">
      <x:c r="A7" s="18" t="str">
        <x:v>TM-03</x:v>
      </x:c>
      <x:c r="B7" s="18" t="str">
        <x:v>Meera</x:v>
      </x:c>
      <x:c r="C7" s="18" t="str">
        <x:v>Finance / Support</x:v>
      </x:c>
      <x:c r="D7" s="18" t="str">
        <x:v>Payments, overdue follow-up and customer support</x:v>
      </x:c>
      <x:c r="E7" s="18" t="str">
        <x:v>Active</x:v>
      </x:c>
    </x:row>
    <x:row r="10" ht="28" customHeight="1">
      <x:c r="A10" s="11" t="str">
        <x:v>Task ID</x:v>
      </x:c>
      <x:c r="B10" s="11" t="str">
        <x:v>Owner</x:v>
      </x:c>
      <x:c r="C10" s="11" t="str">
        <x:v>Task</x:v>
      </x:c>
      <x:c r="D10" s="11" t="str">
        <x:v>Related Transaction</x:v>
      </x:c>
      <x:c r="E10" s="11" t="str">
        <x:v>Due Date</x:v>
      </x:c>
      <x:c r="F10" s="11" t="str">
        <x:v>Status</x:v>
      </x:c>
      <x:c r="G10" s="11" t="str">
        <x:v>Priority</x:v>
      </x:c>
      <x:c r="H10" s="11" t="str">
        <x:v>Overdue?</x:v>
      </x:c>
    </x:row>
    <x:row r="11">
      <x:c r="A11" s="16" t="str">
        <x:v>TASK-01</x:v>
      </x:c>
      <x:c r="B11" s="16" t="str">
        <x:v>Anika</x:v>
      </x:c>
      <x:c r="C11" s="16" t="str">
        <x:v>Confirm repeat order with Arun Stores</x:v>
      </x:c>
      <x:c r="D11" s="16" t="str">
        <x:v>TXN-1008</x:v>
      </x:c>
      <x:c r="E11" s="24" t="n">
        <x:v>46264</x:v>
      </x:c>
      <x:c r="F11" s="16" t="str">
        <x:v>In Progress</x:v>
      </x:c>
      <x:c r="G11" s="16" t="str">
        <x:v>Medium</x:v>
      </x:c>
      <x:c r="H11" s="30" t="str">
        <x:f>IF(AND(F11&lt;&gt;"Done",E11&lt;TODAY()),"YES","NO")</x:f>
        <x:v>NO</x:v>
      </x:c>
    </x:row>
    <x:row r="12">
      <x:c r="A12" s="17" t="str">
        <x:v>TASK-02</x:v>
      </x:c>
      <x:c r="B12" s="17" t="str">
        <x:v>Anika</x:v>
      </x:c>
      <x:c r="C12" s="17" t="str">
        <x:v>Review inactive customer before new sale</x:v>
      </x:c>
      <x:c r="D12" s="17" t="str">
        <x:v>C-008</x:v>
      </x:c>
      <x:c r="E12" s="25" t="n">
        <x:v>46267</x:v>
      </x:c>
      <x:c r="F12" s="17" t="str">
        <x:v>Not Started</x:v>
      </x:c>
      <x:c r="G12" s="17" t="str">
        <x:v>Low</x:v>
      </x:c>
      <x:c r="H12" s="31" t="str">
        <x:f>IF(AND(F12&lt;&gt;"Done",E12&lt;TODAY()),"YES","NO")</x:f>
        <x:v>NO</x:v>
      </x:c>
    </x:row>
    <x:row r="13">
      <x:c r="A13" s="17" t="str">
        <x:v>TASK-03</x:v>
      </x:c>
      <x:c r="B13" s="17" t="str">
        <x:v>Anika</x:v>
      </x:c>
      <x:c r="C13" s="17" t="str">
        <x:v>Approve Metro Prints credit shipment</x:v>
      </x:c>
      <x:c r="D13" s="17" t="str">
        <x:v>TXN-1004</x:v>
      </x:c>
      <x:c r="E13" s="25" t="n">
        <x:v>46263</x:v>
      </x:c>
      <x:c r="F13" s="17" t="str">
        <x:v>In Progress</x:v>
      </x:c>
      <x:c r="G13" s="17" t="str">
        <x:v>High</x:v>
      </x:c>
      <x:c r="H13" s="31" t="str">
        <x:f>IF(AND(F13&lt;&gt;"Done",E13&lt;TODAY()),"YES","NO")</x:f>
        <x:v>YES</x:v>
      </x:c>
    </x:row>
    <x:row r="14">
      <x:c r="A14" s="17" t="str">
        <x:v>TASK-04</x:v>
      </x:c>
      <x:c r="B14" s="17" t="str">
        <x:v>Karthik</x:v>
      </x:c>
      <x:c r="C14" s="17" t="str">
        <x:v>Pack Pearl Gifts order</x:v>
      </x:c>
      <x:c r="D14" s="17" t="str">
        <x:v>TXN-1007</x:v>
      </x:c>
      <x:c r="E14" s="25" t="n">
        <x:v>46264</x:v>
      </x:c>
      <x:c r="F14" s="17" t="str">
        <x:v>In Progress</x:v>
      </x:c>
      <x:c r="G14" s="17" t="str">
        <x:v>High</x:v>
      </x:c>
      <x:c r="H14" s="31" t="str">
        <x:f>IF(AND(F14&lt;&gt;"Done",E14&lt;TODAY()),"YES","NO")</x:f>
        <x:v>NO</x:v>
      </x:c>
    </x:row>
    <x:row r="15">
      <x:c r="A15" s="17" t="str">
        <x:v>TASK-05</x:v>
      </x:c>
      <x:c r="B15" s="17" t="str">
        <x:v>Karthik</x:v>
      </x:c>
      <x:c r="C15" s="17" t="str">
        <x:v>Release Metro Prints shipment after approval</x:v>
      </x:c>
      <x:c r="D15" s="17" t="str">
        <x:v>TXN-1004</x:v>
      </x:c>
      <x:c r="E15" s="25" t="n">
        <x:v>46265</x:v>
      </x:c>
      <x:c r="F15" s="17" t="str">
        <x:v>Not Started</x:v>
      </x:c>
      <x:c r="G15" s="17" t="str">
        <x:v>High</x:v>
      </x:c>
      <x:c r="H15" s="31" t="str">
        <x:f>IF(AND(F15&lt;&gt;"Done",E15&lt;TODAY()),"YES","NO")</x:f>
        <x:v>NO</x:v>
      </x:c>
    </x:row>
    <x:row r="16">
      <x:c r="A16" s="17" t="str">
        <x:v>TASK-06</x:v>
      </x:c>
      <x:c r="B16" s="17" t="str">
        <x:v>Karthik</x:v>
      </x:c>
      <x:c r="C16" s="17" t="str">
        <x:v>Book courier for Green Leaf Traders</x:v>
      </x:c>
      <x:c r="D16" s="17" t="str">
        <x:v>TXN-1009</x:v>
      </x:c>
      <x:c r="E16" s="25" t="n">
        <x:v>46265</x:v>
      </x:c>
      <x:c r="F16" s="17" t="str">
        <x:v>Not Started</x:v>
      </x:c>
      <x:c r="G16" s="17" t="str">
        <x:v>Medium</x:v>
      </x:c>
      <x:c r="H16" s="31" t="str">
        <x:f>IF(AND(F16&lt;&gt;"Done",E16&lt;TODAY()),"YES","NO")</x:f>
        <x:v>NO</x:v>
      </x:c>
    </x:row>
    <x:row r="17">
      <x:c r="A17" s="17" t="str">
        <x:v>TASK-07</x:v>
      </x:c>
      <x:c r="B17" s="17" t="str">
        <x:v>Meera</x:v>
      </x:c>
      <x:c r="C17" s="17" t="str">
        <x:v>Follow up partial payment from Green Leaf</x:v>
      </x:c>
      <x:c r="D17" s="17" t="str">
        <x:v>TXN-1003</x:v>
      </x:c>
      <x:c r="E17" s="25" t="n">
        <x:v>46264</x:v>
      </x:c>
      <x:c r="F17" s="17" t="str">
        <x:v>In Progress</x:v>
      </x:c>
      <x:c r="G17" s="17" t="str">
        <x:v>High</x:v>
      </x:c>
      <x:c r="H17" s="31" t="str">
        <x:f>IF(AND(F17&lt;&gt;"Done",E17&lt;TODAY()),"YES","NO")</x:f>
        <x:v>NO</x:v>
      </x:c>
    </x:row>
    <x:row r="18">
      <x:c r="A18" s="17" t="str">
        <x:v>TASK-08</x:v>
      </x:c>
      <x:c r="B18" s="17" t="str">
        <x:v>Meera</x:v>
      </x:c>
      <x:c r="C18" s="17" t="str">
        <x:v>Collect payment from Metro Prints</x:v>
      </x:c>
      <x:c r="D18" s="17" t="str">
        <x:v>TXN-1004</x:v>
      </x:c>
      <x:c r="E18" s="25" t="n">
        <x:v>46262</x:v>
      </x:c>
      <x:c r="F18" s="17" t="str">
        <x:v>In Progress</x:v>
      </x:c>
      <x:c r="G18" s="17" t="str">
        <x:v>High</x:v>
      </x:c>
      <x:c r="H18" s="31" t="str">
        <x:f>IF(AND(F18&lt;&gt;"Done",E18&lt;TODAY()),"YES","NO")</x:f>
        <x:v>YES</x:v>
      </x:c>
    </x:row>
    <x:row r="19">
      <x:c r="A19" s="18" t="str">
        <x:v>TASK-09</x:v>
      </x:c>
      <x:c r="B19" s="18" t="str">
        <x:v>Meera</x:v>
      </x:c>
      <x:c r="C19" s="18" t="str">
        <x:v>Send payment reminder to Pearl Gifts</x:v>
      </x:c>
      <x:c r="D19" s="18" t="str">
        <x:v>TXN-1007</x:v>
      </x:c>
      <x:c r="E19" s="26" t="n">
        <x:v>46266</x:v>
      </x:c>
      <x:c r="F19" s="18" t="str">
        <x:v>Not Started</x:v>
      </x:c>
      <x:c r="G19" s="18" t="str">
        <x:v>Medium</x:v>
      </x:c>
      <x:c r="H19" s="32" t="str">
        <x:f>IF(AND(F19&lt;&gt;"Done",E19&lt;TODAY()),"YES","NO")</x:f>
        <x:v>NO</x:v>
      </x:c>
    </x:row>
  </x:sheetData>
  <x:mergeCells>
    <x:mergeCell ref="A1:H1"/>
    <x:mergeCell ref="A2:H2"/>
  </x:mergeCells>
  <x:conditionalFormatting sqref="H11:H19">
    <x:cfRule type="expression" dxfId="10" priority="1">
      <x:formula>$H11="YES"</x:formula>
    </x:cfRule>
  </x:conditionalFormatting>
  <x:conditionalFormatting sqref="F11:F19">
    <x:cfRule type="expression" dxfId="11" priority="2">
      <x:formula>$F11="Done"</x:formula>
    </x:cfRule>
  </x:conditionalFormatting>
  <x:dataValidations count="3">
    <x:dataValidation type="list" sqref="B11:B19">
      <x:formula1>"Anika,Karthik,Meera"</x:formula1>
    </x:dataValidation>
    <x:dataValidation type="list" sqref="F11:F19">
      <x:formula1>"Not Started,In Progress,Done"</x:formula1>
    </x:dataValidation>
    <x:dataValidation type="list" sqref="G11:G19">
      <x:formula1>"Low,Medium,High"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a453155d5c1f40e2"/>
    <x:tablePart xmlns:r="http://schemas.openxmlformats.org/officeDocument/2006/relationships" r:id="Rf25a7abb904744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38" hidden="0" customWidth="1"/>
    <x:col min="4" max="4" width="38" hidden="0" customWidth="1"/>
    <x:col min="5" max="5" width="14" hidden="0" customWidth="1"/>
    <x:col min="6" max="6" width="4" hidden="0" customWidth="1"/>
    <x:col min="7" max="7" width="22" hidden="0" customWidth="1"/>
    <x:col min="8" max="8" width="42" hidden="0" customWidth="1"/>
  </x:cols>
  <x:sheetData>
    <x:row r="1" ht="34" customHeight="1">
      <x:c r="A1" s="3" t="str">
        <x:v>Simple Business Rules &amp; Lists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Small rules that the workbook uses. Change the numeric settings carefully; formulas reference them.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1" t="str">
        <x:v>Rule ID</x:v>
      </x:c>
      <x:c r="B4" s="11" t="str">
        <x:v>Rule</x:v>
      </x:c>
      <x:c r="C4" s="11" t="str">
        <x:v>Simple Logic</x:v>
      </x:c>
      <x:c r="D4" s="11" t="str">
        <x:v>Action</x:v>
      </x:c>
      <x:c r="E4" s="11" t="str">
        <x:v>Owner</x:v>
      </x:c>
      <x:c r="G4" s="11" t="str">
        <x:v>Setting</x:v>
      </x:c>
      <x:c r="H4" s="11" t="str">
        <x:v>Value</x:v>
      </x:c>
    </x:row>
    <x:row r="5">
      <x:c r="A5" s="16" t="str">
        <x:v>R-01</x:v>
      </x:c>
      <x:c r="B5" s="16" t="str">
        <x:v>Payment due date</x:v>
      </x:c>
      <x:c r="C5" s="16" t="str">
        <x:v>Transaction date + 7 days</x:v>
      </x:c>
      <x:c r="D5" s="16" t="str">
        <x:v>Mark unpaid balance overdue after due date</x:v>
      </x:c>
      <x:c r="E5" s="16" t="str">
        <x:v>Meera</x:v>
      </x:c>
      <x:c r="G5" s="16" t="str">
        <x:v>Payment due days</x:v>
      </x:c>
      <x:c r="H5" s="19" t="n">
        <x:v>7</x:v>
      </x:c>
    </x:row>
    <x:row r="6">
      <x:c r="A6" s="17" t="str">
        <x:v>R-02</x:v>
      </x:c>
      <x:c r="B6" s="17" t="str">
        <x:v>Shipping approval</x:v>
      </x:c>
      <x:c r="C6" s="17" t="str">
        <x:v>Ship after payment or approved customer credit</x:v>
      </x:c>
      <x:c r="D6" s="17" t="str">
        <x:v>Put order on Hold if approval is missing</x:v>
      </x:c>
      <x:c r="E6" s="17" t="str">
        <x:v>Karthik</x:v>
      </x:c>
      <x:c r="G6" s="18" t="str">
        <x:v>Shipping target days</x:v>
      </x:c>
      <x:c r="H6" s="20" t="n">
        <x:v>2</x:v>
      </x:c>
    </x:row>
    <x:row r="7">
      <x:c r="A7" s="17" t="str">
        <x:v>R-03</x:v>
      </x:c>
      <x:c r="B7" s="17" t="str">
        <x:v>Shipping target</x:v>
      </x:c>
      <x:c r="C7" s="17" t="str">
        <x:v>Ship within 2 days of confirmed order</x:v>
      </x:c>
      <x:c r="D7" s="17" t="str">
        <x:v>Follow up when shipment is still Ready or Hold</x:v>
      </x:c>
      <x:c r="E7" s="17" t="str">
        <x:v>Karthik</x:v>
      </x:c>
    </x:row>
    <x:row r="8">
      <x:c r="A8" s="17" t="str">
        <x:v>R-04</x:v>
      </x:c>
      <x:c r="B8" s="17" t="str">
        <x:v>Transaction owner</x:v>
      </x:c>
      <x:c r="C8" s="17" t="str">
        <x:v>Every transaction must have one team owner</x:v>
      </x:c>
      <x:c r="D8" s="17" t="str">
        <x:v>Select Anika, Karthik or Meera</x:v>
      </x:c>
      <x:c r="E8" s="17" t="str">
        <x:v>Anika</x:v>
      </x:c>
    </x:row>
    <x:row r="9" ht="28" customHeight="1">
      <x:c r="A9" s="18" t="str">
        <x:v>R-05</x:v>
      </x:c>
      <x:c r="B9" s="18" t="str">
        <x:v>Customer status</x:v>
      </x:c>
      <x:c r="C9" s="18" t="str">
        <x:v>Only Active customers receive new transactions</x:v>
      </x:c>
      <x:c r="D9" s="18" t="str">
        <x:v>Review inactive customers before selling</x:v>
      </x:c>
      <x:c r="E9" s="18" t="str">
        <x:v>Anika</x:v>
      </x:c>
      <x:c r="G9" s="11" t="str">
        <x:v>List</x:v>
      </x:c>
      <x:c r="H9" s="11" t="str">
        <x:v>Allowed Values</x:v>
      </x:c>
    </x:row>
    <x:row r="10">
      <x:c r="G10" s="16" t="str">
        <x:v>Transaction Status</x:v>
      </x:c>
      <x:c r="H10" s="16" t="str">
        <x:v>Confirmed; Processing; Completed; Cancelled</x:v>
      </x:c>
    </x:row>
    <x:row r="11">
      <x:c r="G11" s="17" t="str">
        <x:v>Shipment Status</x:v>
      </x:c>
      <x:c r="H11" s="17" t="str">
        <x:v>Ready; Shipped; Delivered; Hold</x:v>
      </x:c>
    </x:row>
    <x:row r="12">
      <x:c r="G12" s="17" t="str">
        <x:v>Task Status</x:v>
      </x:c>
      <x:c r="H12" s="17" t="str">
        <x:v>Not Started; In Progress; Done</x:v>
      </x:c>
    </x:row>
    <x:row r="13">
      <x:c r="G13" s="17" t="str">
        <x:v>Priority</x:v>
      </x:c>
      <x:c r="H13" s="17" t="str">
        <x:v>Low; Medium; High</x:v>
      </x:c>
    </x:row>
    <x:row r="14">
      <x:c r="G14" s="18" t="str">
        <x:v>Team Members</x:v>
      </x:c>
      <x:c r="H14" s="18" t="str">
        <x:v>Anika; Karthik; Meera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44ef7fc844d4cc0"/>
  </x:tableParts>
</x:worksheet>
</file>